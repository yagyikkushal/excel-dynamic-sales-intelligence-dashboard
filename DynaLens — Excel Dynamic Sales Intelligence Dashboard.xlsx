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6ab0af87573231/Documents/"/>
    </mc:Choice>
  </mc:AlternateContent>
  <xr:revisionPtr revIDLastSave="0" documentId="8_{56036CDF-A2CB-4763-8B80-09169FDEFA27}" xr6:coauthVersionLast="47" xr6:coauthVersionMax="47" xr10:uidLastSave="{00000000-0000-0000-0000-000000000000}"/>
  <bookViews>
    <workbookView xWindow="-108" yWindow="-108" windowWidth="23256" windowHeight="12456" xr2:uid="{44076E2B-73BA-4EBD-AD37-227F8D4DEBAB}"/>
  </bookViews>
  <sheets>
    <sheet name="MasterSheet" sheetId="8" r:id="rId1"/>
    <sheet name="2020" sheetId="1" r:id="rId2"/>
    <sheet name="2021" sheetId="2" r:id="rId3"/>
    <sheet name="2022" sheetId="3" r:id="rId4"/>
    <sheet name="2023" sheetId="4" r:id="rId5"/>
    <sheet name="2024" sheetId="5" r:id="rId6"/>
    <sheet name="2025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6" l="1"/>
  <c r="F23" i="6"/>
  <c r="G23" i="6"/>
  <c r="H23" i="6"/>
  <c r="I23" i="6"/>
  <c r="J23" i="6"/>
  <c r="K23" i="6"/>
  <c r="L23" i="6"/>
  <c r="M23" i="6"/>
  <c r="N23" i="6"/>
  <c r="O23" i="6"/>
  <c r="D23" i="6"/>
  <c r="E23" i="5"/>
  <c r="F23" i="5"/>
  <c r="G23" i="5"/>
  <c r="H23" i="5"/>
  <c r="I23" i="5"/>
  <c r="J23" i="5"/>
  <c r="K23" i="5"/>
  <c r="L23" i="5"/>
  <c r="M23" i="5"/>
  <c r="N23" i="5"/>
  <c r="O23" i="5"/>
  <c r="D23" i="5"/>
  <c r="E23" i="4"/>
  <c r="F23" i="4"/>
  <c r="G23" i="4"/>
  <c r="H23" i="4"/>
  <c r="I23" i="4"/>
  <c r="J23" i="4"/>
  <c r="K23" i="4"/>
  <c r="L23" i="4"/>
  <c r="M23" i="4"/>
  <c r="N23" i="4"/>
  <c r="O23" i="4"/>
  <c r="D23" i="4"/>
  <c r="E23" i="3"/>
  <c r="F23" i="3"/>
  <c r="G23" i="3"/>
  <c r="H23" i="3"/>
  <c r="I23" i="3"/>
  <c r="J23" i="3"/>
  <c r="K23" i="3"/>
  <c r="L23" i="3"/>
  <c r="M23" i="3"/>
  <c r="N23" i="3"/>
  <c r="O23" i="3"/>
  <c r="D23" i="3"/>
  <c r="E23" i="2"/>
  <c r="F23" i="2"/>
  <c r="G23" i="2"/>
  <c r="H23" i="2"/>
  <c r="I23" i="2"/>
  <c r="J23" i="2"/>
  <c r="K23" i="2"/>
  <c r="L23" i="2"/>
  <c r="M23" i="2"/>
  <c r="N23" i="2"/>
  <c r="O23" i="2"/>
  <c r="D23" i="2"/>
  <c r="E23" i="1"/>
  <c r="F23" i="1"/>
  <c r="G23" i="1"/>
  <c r="H23" i="1"/>
  <c r="I23" i="1"/>
  <c r="J23" i="1"/>
  <c r="K23" i="1"/>
  <c r="L23" i="1"/>
  <c r="M23" i="1"/>
  <c r="N23" i="1"/>
  <c r="O23" i="1"/>
  <c r="D23" i="1"/>
  <c r="D6" i="8"/>
  <c r="H11" i="8"/>
  <c r="L16" i="8"/>
  <c r="D22" i="8"/>
  <c r="I10" i="8"/>
  <c r="M15" i="8"/>
  <c r="E21" i="8"/>
  <c r="J9" i="8"/>
  <c r="N14" i="8"/>
  <c r="F20" i="8"/>
  <c r="O9" i="8"/>
  <c r="O21" i="8"/>
  <c r="D13" i="8"/>
  <c r="M6" i="8"/>
  <c r="M18" i="8"/>
  <c r="N13" i="8"/>
  <c r="O8" i="8"/>
  <c r="K19" i="8"/>
  <c r="L10" i="8"/>
  <c r="L22" i="8"/>
  <c r="E19" i="8"/>
  <c r="N12" i="8"/>
  <c r="O7" i="8"/>
  <c r="O19" i="8"/>
  <c r="L6" i="8"/>
  <c r="D11" i="8"/>
  <c r="H16" i="8"/>
  <c r="L21" i="8"/>
  <c r="E10" i="8"/>
  <c r="I15" i="8"/>
  <c r="M20" i="8"/>
  <c r="F9" i="8"/>
  <c r="J14" i="8"/>
  <c r="N19" i="8"/>
  <c r="G8" i="8"/>
  <c r="K13" i="8"/>
  <c r="O18" i="8"/>
  <c r="C19" i="8"/>
  <c r="K8" i="8"/>
  <c r="G19" i="8"/>
  <c r="C14" i="8"/>
  <c r="H14" i="8"/>
  <c r="E8" i="8"/>
  <c r="I17" i="8"/>
  <c r="N9" i="8"/>
  <c r="J20" i="8"/>
  <c r="O12" i="8"/>
  <c r="G22" i="8"/>
  <c r="D12" i="8"/>
  <c r="H21" i="8"/>
  <c r="M13" i="8"/>
  <c r="F6" i="8"/>
  <c r="N16" i="8"/>
  <c r="G9" i="8"/>
  <c r="K18" i="8"/>
  <c r="C22" i="8"/>
  <c r="H19" i="8"/>
  <c r="M7" i="8"/>
  <c r="N6" i="8"/>
  <c r="J17" i="8"/>
  <c r="C6" i="8"/>
  <c r="F19" i="8"/>
  <c r="H17" i="8"/>
  <c r="F18" i="8"/>
  <c r="H8" i="8"/>
  <c r="I7" i="8"/>
  <c r="J6" i="8"/>
  <c r="J22" i="8"/>
  <c r="K21" i="8"/>
  <c r="O13" i="8"/>
  <c r="E12" i="8"/>
  <c r="K7" i="8"/>
  <c r="D16" i="8"/>
  <c r="J11" i="8"/>
  <c r="C15" i="8"/>
  <c r="H7" i="8"/>
  <c r="L12" i="8"/>
  <c r="D18" i="8"/>
  <c r="I6" i="8"/>
  <c r="M11" i="8"/>
  <c r="E17" i="8"/>
  <c r="I22" i="8"/>
  <c r="N10" i="8"/>
  <c r="F16" i="8"/>
  <c r="J21" i="8"/>
  <c r="K12" i="8"/>
  <c r="C12" i="8"/>
  <c r="L15" i="8"/>
  <c r="M10" i="8"/>
  <c r="I21" i="8"/>
  <c r="J16" i="8"/>
  <c r="K11" i="8"/>
  <c r="C11" i="8"/>
  <c r="H13" i="8"/>
  <c r="M9" i="8"/>
  <c r="M21" i="8"/>
  <c r="J15" i="8"/>
  <c r="K10" i="8"/>
  <c r="K22" i="8"/>
  <c r="D7" i="8"/>
  <c r="H12" i="8"/>
  <c r="L17" i="8"/>
  <c r="E6" i="8"/>
  <c r="I11" i="8"/>
  <c r="M16" i="8"/>
  <c r="E22" i="8"/>
  <c r="J10" i="8"/>
  <c r="N15" i="8"/>
  <c r="F21" i="8"/>
  <c r="K9" i="8"/>
  <c r="O14" i="8"/>
  <c r="G20" i="8"/>
  <c r="C9" i="8"/>
  <c r="G11" i="8"/>
  <c r="K20" i="8"/>
  <c r="L7" i="8"/>
  <c r="D17" i="8"/>
  <c r="I9" i="8"/>
  <c r="E20" i="8"/>
  <c r="J12" i="8"/>
  <c r="G6" i="8"/>
  <c r="K15" i="8"/>
  <c r="C16" i="8"/>
  <c r="L14" i="8"/>
  <c r="E7" i="8"/>
  <c r="I16" i="8"/>
  <c r="N8" i="8"/>
  <c r="J19" i="8"/>
  <c r="O11" i="8"/>
  <c r="G21" i="8"/>
  <c r="D14" i="8"/>
  <c r="E13" i="8"/>
  <c r="F12" i="8"/>
  <c r="N22" i="8"/>
  <c r="H18" i="8"/>
  <c r="F7" i="8"/>
  <c r="C17" i="8"/>
  <c r="J7" i="8"/>
  <c r="C21" i="8"/>
  <c r="M12" i="8"/>
  <c r="N11" i="8"/>
  <c r="O10" i="8"/>
  <c r="C10" i="8"/>
  <c r="H10" i="8"/>
  <c r="M22" i="8"/>
  <c r="F15" i="8"/>
  <c r="C18" i="8"/>
  <c r="M17" i="8"/>
  <c r="K14" i="8"/>
  <c r="L8" i="8"/>
  <c r="D10" i="8"/>
  <c r="H15" i="8"/>
  <c r="L20" i="8"/>
  <c r="E9" i="8"/>
  <c r="I14" i="8"/>
  <c r="M19" i="8"/>
  <c r="F8" i="8"/>
  <c r="J13" i="8"/>
  <c r="N18" i="8"/>
  <c r="G7" i="8"/>
  <c r="O17" i="8"/>
  <c r="D9" i="8"/>
  <c r="D21" i="8"/>
  <c r="E16" i="8"/>
  <c r="F11" i="8"/>
  <c r="N21" i="8"/>
  <c r="O16" i="8"/>
  <c r="D8" i="8"/>
  <c r="D20" i="8"/>
  <c r="E15" i="8"/>
  <c r="F10" i="8"/>
  <c r="F22" i="8"/>
  <c r="G17" i="8"/>
  <c r="H6" i="8"/>
  <c r="L9" i="8"/>
  <c r="D15" i="8"/>
  <c r="H20" i="8"/>
  <c r="M8" i="8"/>
  <c r="E14" i="8"/>
  <c r="I19" i="8"/>
  <c r="N7" i="8"/>
  <c r="F13" i="8"/>
  <c r="J18" i="8"/>
  <c r="O6" i="8"/>
  <c r="G12" i="8"/>
  <c r="K17" i="8"/>
  <c r="O22" i="8"/>
  <c r="C8" i="8"/>
  <c r="K16" i="8"/>
  <c r="C13" i="8"/>
  <c r="L11" i="8"/>
  <c r="H22" i="8"/>
  <c r="M14" i="8"/>
  <c r="J8" i="8"/>
  <c r="N17" i="8"/>
  <c r="G10" i="8"/>
  <c r="O20" i="8"/>
  <c r="H9" i="8"/>
  <c r="L18" i="8"/>
  <c r="E11" i="8"/>
  <c r="I20" i="8"/>
  <c r="F14" i="8"/>
  <c r="K6" i="8"/>
  <c r="O15" i="8"/>
  <c r="C20" i="8"/>
  <c r="I18" i="8"/>
  <c r="G15" i="8"/>
  <c r="I13" i="8"/>
  <c r="G14" i="8"/>
  <c r="I12" i="8"/>
  <c r="G13" i="8"/>
  <c r="L13" i="8"/>
  <c r="D19" i="8"/>
  <c r="E18" i="8"/>
  <c r="F17" i="8"/>
  <c r="G16" i="8"/>
  <c r="C7" i="8"/>
  <c r="L19" i="8"/>
  <c r="G18" i="8"/>
  <c r="I8" i="8"/>
  <c r="N20" i="8"/>
  <c r="O23" i="8" l="1"/>
  <c r="K23" i="8"/>
  <c r="G23" i="8"/>
  <c r="N23" i="8"/>
  <c r="J23" i="8"/>
  <c r="F23" i="8"/>
  <c r="M23" i="8"/>
  <c r="I23" i="8"/>
  <c r="E23" i="8"/>
  <c r="L23" i="8"/>
  <c r="H23" i="8"/>
  <c r="D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23" i="8" l="1"/>
</calcChain>
</file>

<file path=xl/sharedStrings.xml><?xml version="1.0" encoding="utf-8"?>
<sst xmlns="http://schemas.openxmlformats.org/spreadsheetml/2006/main" count="124" uniqueCount="26">
  <si>
    <t>Sales Rep Name</t>
  </si>
  <si>
    <t>Aniket</t>
  </si>
  <si>
    <t>Sakya</t>
  </si>
  <si>
    <t>Prashant</t>
  </si>
  <si>
    <t>Moksh</t>
  </si>
  <si>
    <t>Devesh</t>
  </si>
  <si>
    <t>Abhay</t>
  </si>
  <si>
    <t>Satya</t>
  </si>
  <si>
    <t>Karan</t>
  </si>
  <si>
    <t>Shobhit</t>
  </si>
  <si>
    <t>Yugvir</t>
  </si>
  <si>
    <t>Sujal</t>
  </si>
  <si>
    <t>Hemant</t>
  </si>
  <si>
    <t>Garvit</t>
  </si>
  <si>
    <t>Tarunesh</t>
  </si>
  <si>
    <t>Poorva</t>
  </si>
  <si>
    <t>Ritika</t>
  </si>
  <si>
    <t>Nandit</t>
  </si>
  <si>
    <t>Total</t>
  </si>
  <si>
    <t>Sales Data 2025</t>
  </si>
  <si>
    <t>Sales Data 2020</t>
  </si>
  <si>
    <t>Sales Data 2021</t>
  </si>
  <si>
    <t>Sales Data 2022</t>
  </si>
  <si>
    <t>Sales Data 2023</t>
  </si>
  <si>
    <t>Sales Data 2024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</si>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</sst>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ck">
        <color theme="1"/>
      </left>
      <right style="thin">
        <color rgb="FF00B0F0"/>
      </right>
      <top style="thick">
        <color theme="1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theme="1"/>
      </top>
      <bottom style="thin">
        <color rgb="FF00B0F0"/>
      </bottom>
      <diagonal/>
    </border>
    <border>
      <left style="thin">
        <color rgb="FF00B0F0"/>
      </left>
      <right style="thick">
        <color theme="1"/>
      </right>
      <top style="thick">
        <color theme="1"/>
      </top>
      <bottom style="thin">
        <color rgb="FF00B0F0"/>
      </bottom>
      <diagonal/>
    </border>
    <border>
      <left style="thick">
        <color theme="1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theme="1"/>
      </right>
      <top style="thin">
        <color rgb="FF00B0F0"/>
      </top>
      <bottom style="thin">
        <color rgb="FF00B0F0"/>
      </bottom>
      <diagonal/>
    </border>
    <border>
      <left style="thick">
        <color theme="1"/>
      </left>
      <right style="thin">
        <color rgb="FF00B0F0"/>
      </right>
      <top style="thin">
        <color rgb="FF00B0F0"/>
      </top>
      <bottom style="thick">
        <color theme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theme="1"/>
      </bottom>
      <diagonal/>
    </border>
    <border>
      <left style="thin">
        <color rgb="FF00B0F0"/>
      </left>
      <right style="thick">
        <color theme="1"/>
      </right>
      <top style="thick">
        <color theme="1"/>
      </top>
      <bottom/>
      <diagonal/>
    </border>
    <border>
      <left style="thin">
        <color rgb="FF00B0F0"/>
      </left>
      <right style="thick">
        <color theme="1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ck">
        <color theme="1"/>
      </bottom>
      <diagonal/>
    </border>
    <border>
      <left style="thin">
        <color rgb="FF00B0F0"/>
      </left>
      <right style="thick">
        <color theme="1"/>
      </right>
      <top style="thin">
        <color rgb="FF00B0F0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ck">
        <color auto="1"/>
      </left>
      <right style="thin">
        <color theme="8" tint="0.79998168889431442"/>
      </right>
      <top style="thick">
        <color auto="1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ck">
        <color auto="1"/>
      </top>
      <bottom style="thin">
        <color theme="8" tint="0.79998168889431442"/>
      </bottom>
      <diagonal/>
    </border>
    <border>
      <left style="thin">
        <color theme="8" tint="0.79998168889431442"/>
      </left>
      <right style="thick">
        <color auto="1"/>
      </right>
      <top style="thick">
        <color auto="1"/>
      </top>
      <bottom style="thin">
        <color theme="8" tint="0.79998168889431442"/>
      </bottom>
      <diagonal/>
    </border>
    <border>
      <left style="thick">
        <color auto="1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ck">
        <color auto="1"/>
      </right>
      <top style="thin">
        <color theme="8" tint="0.79998168889431442"/>
      </top>
      <bottom style="thin">
        <color theme="8" tint="0.79998168889431442"/>
      </bottom>
      <diagonal/>
    </border>
    <border>
      <left style="thick">
        <color auto="1"/>
      </left>
      <right style="thin">
        <color theme="8" tint="0.79998168889431442"/>
      </right>
      <top style="thin">
        <color theme="8" tint="0.79998168889431442"/>
      </top>
      <bottom style="thick">
        <color auto="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ck">
        <color auto="1"/>
      </bottom>
      <diagonal/>
    </border>
    <border>
      <left style="thin">
        <color theme="8" tint="0.79998168889431442"/>
      </left>
      <right style="thick">
        <color auto="1"/>
      </right>
      <top style="thin">
        <color theme="8" tint="0.79998168889431442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7" xfId="0" applyFont="1" applyFill="1" applyBorder="1"/>
    <xf numFmtId="0" fontId="1" fillId="3" borderId="8" xfId="0" applyFont="1" applyFill="1" applyBorder="1"/>
    <xf numFmtId="0" fontId="3" fillId="0" borderId="0" xfId="0" applyFont="1"/>
    <xf numFmtId="0" fontId="1" fillId="3" borderId="11" xfId="0" applyFont="1" applyFill="1" applyBorder="1"/>
    <xf numFmtId="0" fontId="0" fillId="0" borderId="12" xfId="0" applyBorder="1"/>
    <xf numFmtId="0" fontId="1" fillId="3" borderId="13" xfId="0" applyFont="1" applyFill="1" applyBorder="1"/>
    <xf numFmtId="0" fontId="0" fillId="0" borderId="14" xfId="0" applyBorder="1" applyAlignment="1">
      <alignment horizontal="center" vertical="center"/>
    </xf>
    <xf numFmtId="0" fontId="0" fillId="0" borderId="18" xfId="0" applyBorder="1"/>
    <xf numFmtId="0" fontId="4" fillId="0" borderId="19" xfId="0" applyFont="1" applyBorder="1" applyAlignment="1">
      <alignment horizontal="center" vertical="center"/>
    </xf>
    <xf numFmtId="0" fontId="1" fillId="3" borderId="20" xfId="0" applyFont="1" applyFill="1" applyBorder="1"/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6" fillId="4" borderId="0" xfId="0" applyFont="1" applyFill="1"/>
    <xf numFmtId="17" fontId="2" fillId="2" borderId="16" xfId="0" applyNumberFormat="1" applyFont="1" applyFill="1" applyBorder="1" applyAlignment="1">
      <alignment horizontal="center" vertical="center"/>
    </xf>
    <xf numFmtId="17" fontId="2" fillId="2" borderId="14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7" fontId="2" fillId="2" borderId="17" xfId="0" applyNumberFormat="1" applyFont="1" applyFill="1" applyBorder="1" applyAlignment="1">
      <alignment horizontal="center" vertical="center"/>
    </xf>
    <xf numFmtId="17" fontId="2" fillId="2" borderId="19" xfId="0" applyNumberFormat="1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2" fillId="2" borderId="9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7DAC667E-9179-4542-896B-4D7B52DCA7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CheckBox" fmlaLink="$A$1" lockText="1"/>
</file>

<file path=xl/ctrlProps/ctrlProp2.xml><?xml version="1.0" encoding="utf-8"?>
<formControlPr xmlns="http://schemas.microsoft.com/office/spreadsheetml/2009/9/main" objectType="CheckBox" fmlaLink="$B$1" lockText="1"/>
</file>

<file path=xl/ctrlProps/ctrlProp3.xml><?xml version="1.0" encoding="utf-8"?>
<formControlPr xmlns="http://schemas.microsoft.com/office/spreadsheetml/2009/9/main" objectType="CheckBox" fmlaLink="$C$1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5</xdr:row>
      <xdr:rowOff>22860</xdr:rowOff>
    </xdr:from>
    <xdr:to>
      <xdr:col>1</xdr:col>
      <xdr:colOff>861060</xdr:colOff>
      <xdr:row>22</xdr:row>
      <xdr:rowOff>167640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A065E54-B9E1-F5DC-8643-5E407D9AF56D}"/>
            </a:ext>
          </a:extLst>
        </xdr:cNvPr>
        <xdr:cNvSpPr/>
      </xdr:nvSpPr>
      <xdr:spPr>
        <a:xfrm>
          <a:off x="182880" y="944880"/>
          <a:ext cx="1714500" cy="3253740"/>
        </a:xfrm>
        <a:prstGeom prst="roundRect">
          <a:avLst>
            <a:gd name="adj" fmla="val 6445"/>
          </a:avLst>
        </a:prstGeom>
        <a:solidFill>
          <a:schemeClr val="accent4"/>
        </a:solidFill>
        <a:ln w="38100"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312420</xdr:colOff>
      <xdr:row>6</xdr:row>
      <xdr:rowOff>0</xdr:rowOff>
    </xdr:from>
    <xdr:to>
      <xdr:col>1</xdr:col>
      <xdr:colOff>746760</xdr:colOff>
      <xdr:row>7</xdr:row>
      <xdr:rowOff>129540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ADAF99F-9D1B-42D6-D83C-B70E85A3BEBF}"/>
            </a:ext>
          </a:extLst>
        </xdr:cNvPr>
        <xdr:cNvSpPr/>
      </xdr:nvSpPr>
      <xdr:spPr>
        <a:xfrm>
          <a:off x="312420" y="1097280"/>
          <a:ext cx="1470660" cy="3124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Select Options: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746760</xdr:colOff>
          <xdr:row>17</xdr:row>
          <xdr:rowOff>45720</xdr:rowOff>
        </xdr:from>
        <xdr:to>
          <xdr:col>1</xdr:col>
          <xdr:colOff>708660</xdr:colOff>
          <xdr:row>18</xdr:row>
          <xdr:rowOff>121920</xdr:rowOff>
        </xdr:to>
        <xdr:sp macro="" textlink="">
          <xdr:nvSpPr>
            <xdr:cNvPr id="2050" name="ComboBox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266700</xdr:colOff>
      <xdr:row>0</xdr:row>
      <xdr:rowOff>76200</xdr:rowOff>
    </xdr:from>
    <xdr:to>
      <xdr:col>14</xdr:col>
      <xdr:colOff>373380</xdr:colOff>
      <xdr:row>2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70F0BE4-4BBB-99A9-9645-D0C622A7A4DE}"/>
            </a:ext>
          </a:extLst>
        </xdr:cNvPr>
        <xdr:cNvSpPr/>
      </xdr:nvSpPr>
      <xdr:spPr>
        <a:xfrm>
          <a:off x="3429000" y="76200"/>
          <a:ext cx="6812280" cy="403860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Employee Sales Data</a:t>
          </a:r>
        </a:p>
      </xdr:txBody>
    </xdr:sp>
    <xdr:clientData/>
  </xdr:twoCellAnchor>
  <xdr:twoCellAnchor>
    <xdr:from>
      <xdr:col>11</xdr:col>
      <xdr:colOff>167640</xdr:colOff>
      <xdr:row>0</xdr:row>
      <xdr:rowOff>114300</xdr:rowOff>
    </xdr:from>
    <xdr:to>
      <xdr:col>12</xdr:col>
      <xdr:colOff>426720</xdr:colOff>
      <xdr:row>2</xdr:row>
      <xdr:rowOff>68580</xdr:rowOff>
    </xdr:to>
    <xdr:sp macro="" textlink="$A$2">
      <xdr:nvSpPr>
        <xdr:cNvPr id="6" name="Rectangle: Rounded Corners 5">
          <a:extLst>
            <a:ext uri="{FF2B5EF4-FFF2-40B4-BE49-F238E27FC236}">
              <a16:creationId xmlns:a16="http://schemas.microsoft.com/office/drawing/2014/main" id="{678B9D47-5F31-C5CA-301C-0601E96D2C44}"/>
            </a:ext>
          </a:extLst>
        </xdr:cNvPr>
        <xdr:cNvSpPr/>
      </xdr:nvSpPr>
      <xdr:spPr>
        <a:xfrm>
          <a:off x="8206740" y="114300"/>
          <a:ext cx="868680" cy="32004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A4D0861-DE93-4258-9629-4D22B58D1ECF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2021</a:t>
          </a:fld>
          <a:endParaRPr lang="en-US" sz="24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9</xdr:row>
          <xdr:rowOff>15240</xdr:rowOff>
        </xdr:from>
        <xdr:to>
          <xdr:col>1</xdr:col>
          <xdr:colOff>381000</xdr:colOff>
          <xdr:row>10</xdr:row>
          <xdr:rowOff>53340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 10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11</xdr:row>
          <xdr:rowOff>60960</xdr:rowOff>
        </xdr:from>
        <xdr:to>
          <xdr:col>1</xdr:col>
          <xdr:colOff>403860</xdr:colOff>
          <xdr:row>12</xdr:row>
          <xdr:rowOff>99060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 10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13</xdr:row>
          <xdr:rowOff>99060</xdr:rowOff>
        </xdr:from>
        <xdr:to>
          <xdr:col>1</xdr:col>
          <xdr:colOff>228600</xdr:colOff>
          <xdr:row>14</xdr:row>
          <xdr:rowOff>137160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Hide All Data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5A35-338C-4B5E-82F1-B558E033E3BC}">
  <sheetPr codeName="Sheet1"/>
  <dimension ref="A1:S24"/>
  <sheetViews>
    <sheetView showGridLines="0" tabSelected="1" zoomScale="120" zoomScaleNormal="120" workbookViewId="0">
      <selection activeCell="C31" sqref="C31"/>
    </sheetView>
  </sheetViews>
  <sheetFormatPr defaultRowHeight="14.4" x14ac:dyDescent="0.3"/>
  <cols>
    <col min="1" max="2" width="15.109375" style="16" customWidth="1"/>
    <col min="3" max="3" width="15.88671875" style="16" customWidth="1"/>
    <col min="4" max="15" width="8.88671875" style="16"/>
    <col min="16" max="16" width="15.88671875" style="16" customWidth="1"/>
    <col min="17" max="16384" width="8.88671875" style="16"/>
  </cols>
  <sheetData>
    <row r="1" spans="1:19" x14ac:dyDescent="0.3">
      <c r="A1" s="16" t="b">
        <v>0</v>
      </c>
      <c r="B1" s="16" t="b">
        <v>0</v>
      </c>
      <c r="C1" s="16" t="b">
        <v>0</v>
      </c>
    </row>
    <row r="2" spans="1:19" x14ac:dyDescent="0.3">
      <c r="A2" s="16" t="s">
        <v>25</v>
      </c>
    </row>
    <row r="3" spans="1:19" ht="15" thickBot="1" x14ac:dyDescent="0.35"/>
    <row r="4" spans="1:19" ht="14.4" customHeight="1" thickTop="1" x14ac:dyDescent="0.3">
      <c r="C4" s="19" t="s">
        <v>0</v>
      </c>
      <c r="D4" s="17">
        <v>43831</v>
      </c>
      <c r="E4" s="17">
        <v>43862</v>
      </c>
      <c r="F4" s="17">
        <v>43891</v>
      </c>
      <c r="G4" s="17">
        <v>43922</v>
      </c>
      <c r="H4" s="17">
        <v>43952</v>
      </c>
      <c r="I4" s="17">
        <v>43983</v>
      </c>
      <c r="J4" s="17">
        <v>44013</v>
      </c>
      <c r="K4" s="17">
        <v>44044</v>
      </c>
      <c r="L4" s="17">
        <v>44075</v>
      </c>
      <c r="M4" s="17">
        <v>44105</v>
      </c>
      <c r="N4" s="17">
        <v>44136</v>
      </c>
      <c r="O4" s="17">
        <v>44166</v>
      </c>
      <c r="P4" s="21" t="s">
        <v>18</v>
      </c>
    </row>
    <row r="5" spans="1:19" ht="14.4" customHeight="1" x14ac:dyDescent="0.3">
      <c r="C5" s="20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22"/>
    </row>
    <row r="6" spans="1:19" x14ac:dyDescent="0.3">
      <c r="C6" s="11" t="str">
        <f ca="1">INDIRECT(ADDRESS(ROW(),COLUMN(),1,1,$A$2))</f>
        <v>Aniket</v>
      </c>
      <c r="D6" s="10">
        <f t="shared" ref="D6:O6" ca="1" si="0">INDIRECT(ADDRESS(ROW(),COLUMN(),1,1,$A$2))</f>
        <v>4347</v>
      </c>
      <c r="E6" s="10">
        <f t="shared" ca="1" si="0"/>
        <v>3150</v>
      </c>
      <c r="F6" s="10">
        <f t="shared" ca="1" si="0"/>
        <v>6862</v>
      </c>
      <c r="G6" s="10">
        <f t="shared" ca="1" si="0"/>
        <v>2879</v>
      </c>
      <c r="H6" s="10">
        <f t="shared" ca="1" si="0"/>
        <v>8139</v>
      </c>
      <c r="I6" s="10">
        <f t="shared" ca="1" si="0"/>
        <v>7297</v>
      </c>
      <c r="J6" s="10">
        <f t="shared" ca="1" si="0"/>
        <v>1299</v>
      </c>
      <c r="K6" s="10">
        <f t="shared" ca="1" si="0"/>
        <v>1786</v>
      </c>
      <c r="L6" s="10">
        <f t="shared" ca="1" si="0"/>
        <v>4357</v>
      </c>
      <c r="M6" s="10">
        <f t="shared" ca="1" si="0"/>
        <v>3794</v>
      </c>
      <c r="N6" s="10">
        <f t="shared" ca="1" si="0"/>
        <v>4035</v>
      </c>
      <c r="O6" s="10">
        <f t="shared" ca="1" si="0"/>
        <v>5056</v>
      </c>
      <c r="P6" s="12">
        <f ca="1">SUM(D6:O6)</f>
        <v>53001</v>
      </c>
      <c r="S6" s="16">
        <v>2020</v>
      </c>
    </row>
    <row r="7" spans="1:19" x14ac:dyDescent="0.3">
      <c r="C7" s="11" t="str">
        <f t="shared" ref="C7:O22" ca="1" si="1">INDIRECT(ADDRESS(ROW(),COLUMN(),1,1,$A$2))</f>
        <v>Sakya</v>
      </c>
      <c r="D7" s="10">
        <f t="shared" ca="1" si="1"/>
        <v>4341</v>
      </c>
      <c r="E7" s="10">
        <f t="shared" ca="1" si="1"/>
        <v>3617</v>
      </c>
      <c r="F7" s="10">
        <f t="shared" ca="1" si="1"/>
        <v>3721</v>
      </c>
      <c r="G7" s="10">
        <f t="shared" ca="1" si="1"/>
        <v>4471</v>
      </c>
      <c r="H7" s="10">
        <f t="shared" ca="1" si="1"/>
        <v>697</v>
      </c>
      <c r="I7" s="10">
        <f t="shared" ca="1" si="1"/>
        <v>3910</v>
      </c>
      <c r="J7" s="10">
        <f t="shared" ca="1" si="1"/>
        <v>5874</v>
      </c>
      <c r="K7" s="10">
        <f t="shared" ca="1" si="1"/>
        <v>820</v>
      </c>
      <c r="L7" s="10">
        <f t="shared" ca="1" si="1"/>
        <v>5063</v>
      </c>
      <c r="M7" s="10">
        <f t="shared" ca="1" si="1"/>
        <v>2174</v>
      </c>
      <c r="N7" s="10">
        <f t="shared" ca="1" si="1"/>
        <v>3381</v>
      </c>
      <c r="O7" s="10">
        <f t="shared" ca="1" si="1"/>
        <v>4755</v>
      </c>
      <c r="P7" s="12">
        <f t="shared" ref="P7:P22" ca="1" si="2">SUM(D7:O7)</f>
        <v>42824</v>
      </c>
      <c r="S7" s="16">
        <v>2021</v>
      </c>
    </row>
    <row r="8" spans="1:19" x14ac:dyDescent="0.3">
      <c r="C8" s="11" t="str">
        <f t="shared" ca="1" si="1"/>
        <v>Prashant</v>
      </c>
      <c r="D8" s="10">
        <f t="shared" ca="1" si="1"/>
        <v>4117</v>
      </c>
      <c r="E8" s="10">
        <f t="shared" ca="1" si="1"/>
        <v>597</v>
      </c>
      <c r="F8" s="10">
        <f t="shared" ca="1" si="1"/>
        <v>5985</v>
      </c>
      <c r="G8" s="10">
        <f t="shared" ca="1" si="1"/>
        <v>457</v>
      </c>
      <c r="H8" s="10">
        <f t="shared" ca="1" si="1"/>
        <v>8142</v>
      </c>
      <c r="I8" s="10">
        <f t="shared" ca="1" si="1"/>
        <v>3202</v>
      </c>
      <c r="J8" s="10">
        <f t="shared" ca="1" si="1"/>
        <v>8876</v>
      </c>
      <c r="K8" s="10">
        <f t="shared" ca="1" si="1"/>
        <v>3695</v>
      </c>
      <c r="L8" s="10">
        <f t="shared" ca="1" si="1"/>
        <v>2463</v>
      </c>
      <c r="M8" s="10">
        <f t="shared" ca="1" si="1"/>
        <v>6051</v>
      </c>
      <c r="N8" s="10">
        <f t="shared" ca="1" si="1"/>
        <v>677</v>
      </c>
      <c r="O8" s="10">
        <f t="shared" ca="1" si="1"/>
        <v>3907</v>
      </c>
      <c r="P8" s="12">
        <f t="shared" ca="1" si="2"/>
        <v>48169</v>
      </c>
      <c r="S8" s="16">
        <v>2022</v>
      </c>
    </row>
    <row r="9" spans="1:19" x14ac:dyDescent="0.3">
      <c r="C9" s="11" t="str">
        <f t="shared" ca="1" si="1"/>
        <v>Moksh</v>
      </c>
      <c r="D9" s="10">
        <f t="shared" ca="1" si="1"/>
        <v>1864</v>
      </c>
      <c r="E9" s="10">
        <f t="shared" ca="1" si="1"/>
        <v>8736</v>
      </c>
      <c r="F9" s="10">
        <f t="shared" ca="1" si="1"/>
        <v>5048</v>
      </c>
      <c r="G9" s="10">
        <f t="shared" ca="1" si="1"/>
        <v>3555</v>
      </c>
      <c r="H9" s="10">
        <f t="shared" ca="1" si="1"/>
        <v>8607</v>
      </c>
      <c r="I9" s="10">
        <f t="shared" ca="1" si="1"/>
        <v>1800</v>
      </c>
      <c r="J9" s="10">
        <f t="shared" ca="1" si="1"/>
        <v>607</v>
      </c>
      <c r="K9" s="10">
        <f t="shared" ca="1" si="1"/>
        <v>6112</v>
      </c>
      <c r="L9" s="10">
        <f t="shared" ca="1" si="1"/>
        <v>8400</v>
      </c>
      <c r="M9" s="10">
        <f t="shared" ca="1" si="1"/>
        <v>484</v>
      </c>
      <c r="N9" s="10">
        <f t="shared" ca="1" si="1"/>
        <v>4103</v>
      </c>
      <c r="O9" s="10">
        <f t="shared" ca="1" si="1"/>
        <v>4323</v>
      </c>
      <c r="P9" s="12">
        <f t="shared" ca="1" si="2"/>
        <v>53639</v>
      </c>
      <c r="S9" s="16">
        <v>2023</v>
      </c>
    </row>
    <row r="10" spans="1:19" x14ac:dyDescent="0.3">
      <c r="C10" s="11" t="str">
        <f t="shared" ca="1" si="1"/>
        <v>Devesh</v>
      </c>
      <c r="D10" s="10">
        <f t="shared" ca="1" si="1"/>
        <v>6999</v>
      </c>
      <c r="E10" s="10">
        <f t="shared" ca="1" si="1"/>
        <v>7683</v>
      </c>
      <c r="F10" s="10">
        <f t="shared" ca="1" si="1"/>
        <v>1457</v>
      </c>
      <c r="G10" s="10">
        <f t="shared" ca="1" si="1"/>
        <v>2934</v>
      </c>
      <c r="H10" s="10">
        <f t="shared" ca="1" si="1"/>
        <v>7939</v>
      </c>
      <c r="I10" s="10">
        <f t="shared" ca="1" si="1"/>
        <v>7162</v>
      </c>
      <c r="J10" s="10">
        <f t="shared" ca="1" si="1"/>
        <v>5278</v>
      </c>
      <c r="K10" s="10">
        <f t="shared" ca="1" si="1"/>
        <v>1939</v>
      </c>
      <c r="L10" s="10">
        <f t="shared" ca="1" si="1"/>
        <v>2017</v>
      </c>
      <c r="M10" s="10">
        <f t="shared" ca="1" si="1"/>
        <v>7439</v>
      </c>
      <c r="N10" s="10">
        <f t="shared" ca="1" si="1"/>
        <v>342</v>
      </c>
      <c r="O10" s="10">
        <f t="shared" ca="1" si="1"/>
        <v>981</v>
      </c>
      <c r="P10" s="12">
        <f t="shared" ca="1" si="2"/>
        <v>52170</v>
      </c>
      <c r="S10" s="16">
        <v>2024</v>
      </c>
    </row>
    <row r="11" spans="1:19" x14ac:dyDescent="0.3">
      <c r="C11" s="11" t="str">
        <f t="shared" ca="1" si="1"/>
        <v>Abhay</v>
      </c>
      <c r="D11" s="10">
        <f t="shared" ca="1" si="1"/>
        <v>5769</v>
      </c>
      <c r="E11" s="10">
        <f t="shared" ca="1" si="1"/>
        <v>564</v>
      </c>
      <c r="F11" s="10">
        <f t="shared" ca="1" si="1"/>
        <v>6922</v>
      </c>
      <c r="G11" s="10">
        <f t="shared" ca="1" si="1"/>
        <v>8357</v>
      </c>
      <c r="H11" s="10">
        <f t="shared" ca="1" si="1"/>
        <v>3224</v>
      </c>
      <c r="I11" s="10">
        <f t="shared" ca="1" si="1"/>
        <v>6862</v>
      </c>
      <c r="J11" s="10">
        <f t="shared" ca="1" si="1"/>
        <v>2103</v>
      </c>
      <c r="K11" s="10">
        <f t="shared" ca="1" si="1"/>
        <v>647</v>
      </c>
      <c r="L11" s="10">
        <f t="shared" ca="1" si="1"/>
        <v>5661</v>
      </c>
      <c r="M11" s="10">
        <f t="shared" ca="1" si="1"/>
        <v>8789</v>
      </c>
      <c r="N11" s="10">
        <f t="shared" ca="1" si="1"/>
        <v>8516</v>
      </c>
      <c r="O11" s="10">
        <f t="shared" ca="1" si="1"/>
        <v>8389</v>
      </c>
      <c r="P11" s="12">
        <f t="shared" ca="1" si="2"/>
        <v>65803</v>
      </c>
      <c r="S11" s="16">
        <v>2025</v>
      </c>
    </row>
    <row r="12" spans="1:19" x14ac:dyDescent="0.3">
      <c r="C12" s="11" t="str">
        <f t="shared" ca="1" si="1"/>
        <v>Satya</v>
      </c>
      <c r="D12" s="10">
        <f t="shared" ca="1" si="1"/>
        <v>3267</v>
      </c>
      <c r="E12" s="10">
        <f t="shared" ca="1" si="1"/>
        <v>2439</v>
      </c>
      <c r="F12" s="10">
        <f t="shared" ca="1" si="1"/>
        <v>8587</v>
      </c>
      <c r="G12" s="10">
        <f t="shared" ca="1" si="1"/>
        <v>3493</v>
      </c>
      <c r="H12" s="10">
        <f t="shared" ca="1" si="1"/>
        <v>321</v>
      </c>
      <c r="I12" s="10">
        <f t="shared" ca="1" si="1"/>
        <v>1272</v>
      </c>
      <c r="J12" s="10">
        <f t="shared" ca="1" si="1"/>
        <v>8163</v>
      </c>
      <c r="K12" s="10">
        <f t="shared" ca="1" si="1"/>
        <v>6093</v>
      </c>
      <c r="L12" s="10">
        <f t="shared" ca="1" si="1"/>
        <v>7211</v>
      </c>
      <c r="M12" s="10">
        <f t="shared" ca="1" si="1"/>
        <v>3569</v>
      </c>
      <c r="N12" s="10">
        <f t="shared" ca="1" si="1"/>
        <v>8056</v>
      </c>
      <c r="O12" s="10">
        <f t="shared" ca="1" si="1"/>
        <v>7645</v>
      </c>
      <c r="P12" s="12">
        <f t="shared" ca="1" si="2"/>
        <v>60116</v>
      </c>
    </row>
    <row r="13" spans="1:19" x14ac:dyDescent="0.3">
      <c r="C13" s="11" t="str">
        <f t="shared" ca="1" si="1"/>
        <v>Karan</v>
      </c>
      <c r="D13" s="10">
        <f t="shared" ca="1" si="1"/>
        <v>5559</v>
      </c>
      <c r="E13" s="10">
        <f t="shared" ca="1" si="1"/>
        <v>826</v>
      </c>
      <c r="F13" s="10">
        <f t="shared" ca="1" si="1"/>
        <v>6220</v>
      </c>
      <c r="G13" s="10">
        <f t="shared" ca="1" si="1"/>
        <v>2294</v>
      </c>
      <c r="H13" s="10">
        <f t="shared" ca="1" si="1"/>
        <v>4171</v>
      </c>
      <c r="I13" s="10">
        <f t="shared" ca="1" si="1"/>
        <v>8905</v>
      </c>
      <c r="J13" s="10">
        <f t="shared" ca="1" si="1"/>
        <v>6560</v>
      </c>
      <c r="K13" s="10">
        <f t="shared" ca="1" si="1"/>
        <v>6862</v>
      </c>
      <c r="L13" s="10">
        <f t="shared" ca="1" si="1"/>
        <v>3046</v>
      </c>
      <c r="M13" s="10">
        <f t="shared" ca="1" si="1"/>
        <v>5195</v>
      </c>
      <c r="N13" s="10">
        <f t="shared" ca="1" si="1"/>
        <v>3481</v>
      </c>
      <c r="O13" s="10">
        <f t="shared" ca="1" si="1"/>
        <v>8634</v>
      </c>
      <c r="P13" s="12">
        <f t="shared" ca="1" si="2"/>
        <v>61753</v>
      </c>
    </row>
    <row r="14" spans="1:19" x14ac:dyDescent="0.3">
      <c r="C14" s="11" t="str">
        <f t="shared" ca="1" si="1"/>
        <v>Shobhit</v>
      </c>
      <c r="D14" s="10">
        <f t="shared" ca="1" si="1"/>
        <v>6726</v>
      </c>
      <c r="E14" s="10">
        <f t="shared" ca="1" si="1"/>
        <v>3331</v>
      </c>
      <c r="F14" s="10">
        <f t="shared" ca="1" si="1"/>
        <v>6449</v>
      </c>
      <c r="G14" s="10">
        <f t="shared" ca="1" si="1"/>
        <v>329</v>
      </c>
      <c r="H14" s="10">
        <f t="shared" ca="1" si="1"/>
        <v>7730</v>
      </c>
      <c r="I14" s="10">
        <f t="shared" ca="1" si="1"/>
        <v>5122</v>
      </c>
      <c r="J14" s="10">
        <f t="shared" ca="1" si="1"/>
        <v>4028</v>
      </c>
      <c r="K14" s="10">
        <f t="shared" ca="1" si="1"/>
        <v>4628</v>
      </c>
      <c r="L14" s="10">
        <f t="shared" ca="1" si="1"/>
        <v>8980</v>
      </c>
      <c r="M14" s="10">
        <f t="shared" ca="1" si="1"/>
        <v>541</v>
      </c>
      <c r="N14" s="10">
        <f t="shared" ca="1" si="1"/>
        <v>4174</v>
      </c>
      <c r="O14" s="10">
        <f t="shared" ca="1" si="1"/>
        <v>4049</v>
      </c>
      <c r="P14" s="12">
        <f t="shared" ca="1" si="2"/>
        <v>56087</v>
      </c>
    </row>
    <row r="15" spans="1:19" x14ac:dyDescent="0.3">
      <c r="C15" s="11" t="str">
        <f t="shared" ca="1" si="1"/>
        <v>Yugvir</v>
      </c>
      <c r="D15" s="10">
        <f t="shared" ca="1" si="1"/>
        <v>5670</v>
      </c>
      <c r="E15" s="10">
        <f t="shared" ca="1" si="1"/>
        <v>6188</v>
      </c>
      <c r="F15" s="10">
        <f t="shared" ca="1" si="1"/>
        <v>1149</v>
      </c>
      <c r="G15" s="10">
        <f t="shared" ca="1" si="1"/>
        <v>4120</v>
      </c>
      <c r="H15" s="10">
        <f t="shared" ca="1" si="1"/>
        <v>1451</v>
      </c>
      <c r="I15" s="10">
        <f t="shared" ca="1" si="1"/>
        <v>6049</v>
      </c>
      <c r="J15" s="10">
        <f t="shared" ca="1" si="1"/>
        <v>625</v>
      </c>
      <c r="K15" s="10">
        <f t="shared" ca="1" si="1"/>
        <v>5066</v>
      </c>
      <c r="L15" s="10">
        <f t="shared" ca="1" si="1"/>
        <v>1804</v>
      </c>
      <c r="M15" s="10">
        <f t="shared" ca="1" si="1"/>
        <v>2498</v>
      </c>
      <c r="N15" s="10">
        <f t="shared" ca="1" si="1"/>
        <v>7810</v>
      </c>
      <c r="O15" s="10">
        <f t="shared" ca="1" si="1"/>
        <v>382</v>
      </c>
      <c r="P15" s="12">
        <f t="shared" ca="1" si="2"/>
        <v>42812</v>
      </c>
    </row>
    <row r="16" spans="1:19" x14ac:dyDescent="0.3">
      <c r="C16" s="11" t="str">
        <f t="shared" ca="1" si="1"/>
        <v>Sujal</v>
      </c>
      <c r="D16" s="10">
        <f t="shared" ca="1" si="1"/>
        <v>2520</v>
      </c>
      <c r="E16" s="10">
        <f t="shared" ca="1" si="1"/>
        <v>6532</v>
      </c>
      <c r="F16" s="10">
        <f t="shared" ca="1" si="1"/>
        <v>301</v>
      </c>
      <c r="G16" s="10">
        <f t="shared" ca="1" si="1"/>
        <v>4126</v>
      </c>
      <c r="H16" s="10">
        <f t="shared" ca="1" si="1"/>
        <v>625</v>
      </c>
      <c r="I16" s="10">
        <f t="shared" ca="1" si="1"/>
        <v>6450</v>
      </c>
      <c r="J16" s="10">
        <f t="shared" ca="1" si="1"/>
        <v>1644</v>
      </c>
      <c r="K16" s="10">
        <f t="shared" ca="1" si="1"/>
        <v>8107</v>
      </c>
      <c r="L16" s="10">
        <f t="shared" ca="1" si="1"/>
        <v>409</v>
      </c>
      <c r="M16" s="10">
        <f t="shared" ca="1" si="1"/>
        <v>8912</v>
      </c>
      <c r="N16" s="10">
        <f t="shared" ca="1" si="1"/>
        <v>5879</v>
      </c>
      <c r="O16" s="10">
        <f t="shared" ca="1" si="1"/>
        <v>2133</v>
      </c>
      <c r="P16" s="12">
        <f t="shared" ca="1" si="2"/>
        <v>47638</v>
      </c>
    </row>
    <row r="17" spans="3:16" x14ac:dyDescent="0.3">
      <c r="C17" s="11" t="str">
        <f t="shared" ca="1" si="1"/>
        <v>Hemant</v>
      </c>
      <c r="D17" s="10">
        <f t="shared" ca="1" si="1"/>
        <v>995</v>
      </c>
      <c r="E17" s="10">
        <f t="shared" ca="1" si="1"/>
        <v>1437</v>
      </c>
      <c r="F17" s="10">
        <f t="shared" ca="1" si="1"/>
        <v>5441</v>
      </c>
      <c r="G17" s="10">
        <f t="shared" ca="1" si="1"/>
        <v>5385</v>
      </c>
      <c r="H17" s="10">
        <f t="shared" ca="1" si="1"/>
        <v>2369</v>
      </c>
      <c r="I17" s="10">
        <f t="shared" ca="1" si="1"/>
        <v>8355</v>
      </c>
      <c r="J17" s="10">
        <f t="shared" ca="1" si="1"/>
        <v>1234</v>
      </c>
      <c r="K17" s="10">
        <f t="shared" ca="1" si="1"/>
        <v>4434</v>
      </c>
      <c r="L17" s="10">
        <f t="shared" ca="1" si="1"/>
        <v>2362</v>
      </c>
      <c r="M17" s="10">
        <f t="shared" ca="1" si="1"/>
        <v>5490</v>
      </c>
      <c r="N17" s="10">
        <f t="shared" ca="1" si="1"/>
        <v>8420</v>
      </c>
      <c r="O17" s="10">
        <f t="shared" ca="1" si="1"/>
        <v>3628</v>
      </c>
      <c r="P17" s="12">
        <f t="shared" ca="1" si="2"/>
        <v>49550</v>
      </c>
    </row>
    <row r="18" spans="3:16" x14ac:dyDescent="0.3">
      <c r="C18" s="11" t="str">
        <f t="shared" ca="1" si="1"/>
        <v>Garvit</v>
      </c>
      <c r="D18" s="10">
        <f t="shared" ca="1" si="1"/>
        <v>3657</v>
      </c>
      <c r="E18" s="10">
        <f t="shared" ca="1" si="1"/>
        <v>2186</v>
      </c>
      <c r="F18" s="10">
        <f t="shared" ca="1" si="1"/>
        <v>6530</v>
      </c>
      <c r="G18" s="10">
        <f t="shared" ca="1" si="1"/>
        <v>5662</v>
      </c>
      <c r="H18" s="10">
        <f t="shared" ca="1" si="1"/>
        <v>6319</v>
      </c>
      <c r="I18" s="10">
        <f t="shared" ca="1" si="1"/>
        <v>4215</v>
      </c>
      <c r="J18" s="10">
        <f t="shared" ca="1" si="1"/>
        <v>6399</v>
      </c>
      <c r="K18" s="10">
        <f t="shared" ca="1" si="1"/>
        <v>4257</v>
      </c>
      <c r="L18" s="10">
        <f t="shared" ca="1" si="1"/>
        <v>2293</v>
      </c>
      <c r="M18" s="10">
        <f t="shared" ca="1" si="1"/>
        <v>6822</v>
      </c>
      <c r="N18" s="10">
        <f t="shared" ca="1" si="1"/>
        <v>8034</v>
      </c>
      <c r="O18" s="10">
        <f t="shared" ca="1" si="1"/>
        <v>3623</v>
      </c>
      <c r="P18" s="12">
        <f t="shared" ca="1" si="2"/>
        <v>59997</v>
      </c>
    </row>
    <row r="19" spans="3:16" x14ac:dyDescent="0.3">
      <c r="C19" s="11" t="str">
        <f t="shared" ca="1" si="1"/>
        <v>Tarunesh</v>
      </c>
      <c r="D19" s="10">
        <f t="shared" ca="1" si="1"/>
        <v>5531</v>
      </c>
      <c r="E19" s="10">
        <f t="shared" ca="1" si="1"/>
        <v>2370</v>
      </c>
      <c r="F19" s="10">
        <f t="shared" ca="1" si="1"/>
        <v>3177</v>
      </c>
      <c r="G19" s="10">
        <f t="shared" ca="1" si="1"/>
        <v>5070</v>
      </c>
      <c r="H19" s="10">
        <f t="shared" ca="1" si="1"/>
        <v>4686</v>
      </c>
      <c r="I19" s="10">
        <f t="shared" ca="1" si="1"/>
        <v>4404</v>
      </c>
      <c r="J19" s="10">
        <f t="shared" ca="1" si="1"/>
        <v>3641</v>
      </c>
      <c r="K19" s="10">
        <f t="shared" ca="1" si="1"/>
        <v>2946</v>
      </c>
      <c r="L19" s="10">
        <f t="shared" ca="1" si="1"/>
        <v>3080</v>
      </c>
      <c r="M19" s="10">
        <f t="shared" ca="1" si="1"/>
        <v>4871</v>
      </c>
      <c r="N19" s="10">
        <f t="shared" ca="1" si="1"/>
        <v>5256</v>
      </c>
      <c r="O19" s="10">
        <f t="shared" ca="1" si="1"/>
        <v>5556</v>
      </c>
      <c r="P19" s="12">
        <f t="shared" ca="1" si="2"/>
        <v>50588</v>
      </c>
    </row>
    <row r="20" spans="3:16" x14ac:dyDescent="0.3">
      <c r="C20" s="11" t="str">
        <f t="shared" ca="1" si="1"/>
        <v>Poorva</v>
      </c>
      <c r="D20" s="10">
        <f t="shared" ca="1" si="1"/>
        <v>1242</v>
      </c>
      <c r="E20" s="10">
        <f t="shared" ca="1" si="1"/>
        <v>1414</v>
      </c>
      <c r="F20" s="10">
        <f t="shared" ca="1" si="1"/>
        <v>1195</v>
      </c>
      <c r="G20" s="10">
        <f t="shared" ca="1" si="1"/>
        <v>5229</v>
      </c>
      <c r="H20" s="10">
        <f t="shared" ca="1" si="1"/>
        <v>4186</v>
      </c>
      <c r="I20" s="10">
        <f t="shared" ca="1" si="1"/>
        <v>643</v>
      </c>
      <c r="J20" s="10">
        <f t="shared" ca="1" si="1"/>
        <v>4399</v>
      </c>
      <c r="K20" s="10">
        <f t="shared" ca="1" si="1"/>
        <v>2241</v>
      </c>
      <c r="L20" s="10">
        <f t="shared" ca="1" si="1"/>
        <v>3167</v>
      </c>
      <c r="M20" s="10">
        <f t="shared" ca="1" si="1"/>
        <v>8563</v>
      </c>
      <c r="N20" s="10">
        <f t="shared" ca="1" si="1"/>
        <v>207</v>
      </c>
      <c r="O20" s="10">
        <f t="shared" ca="1" si="1"/>
        <v>1487</v>
      </c>
      <c r="P20" s="12">
        <f t="shared" ca="1" si="2"/>
        <v>33973</v>
      </c>
    </row>
    <row r="21" spans="3:16" x14ac:dyDescent="0.3">
      <c r="C21" s="11" t="str">
        <f t="shared" ca="1" si="1"/>
        <v>Ritika</v>
      </c>
      <c r="D21" s="10">
        <f t="shared" ca="1" si="1"/>
        <v>6852</v>
      </c>
      <c r="E21" s="10">
        <f t="shared" ca="1" si="1"/>
        <v>2372</v>
      </c>
      <c r="F21" s="10">
        <f t="shared" ca="1" si="1"/>
        <v>3409</v>
      </c>
      <c r="G21" s="10">
        <f t="shared" ca="1" si="1"/>
        <v>4783</v>
      </c>
      <c r="H21" s="10">
        <f t="shared" ca="1" si="1"/>
        <v>6253</v>
      </c>
      <c r="I21" s="10">
        <f t="shared" ca="1" si="1"/>
        <v>8000</v>
      </c>
      <c r="J21" s="10">
        <f t="shared" ca="1" si="1"/>
        <v>4978</v>
      </c>
      <c r="K21" s="10">
        <f t="shared" ca="1" si="1"/>
        <v>7834</v>
      </c>
      <c r="L21" s="10">
        <f t="shared" ca="1" si="1"/>
        <v>1618</v>
      </c>
      <c r="M21" s="10">
        <f t="shared" ca="1" si="1"/>
        <v>6770</v>
      </c>
      <c r="N21" s="10">
        <f t="shared" ca="1" si="1"/>
        <v>5176</v>
      </c>
      <c r="O21" s="10">
        <f t="shared" ca="1" si="1"/>
        <v>6143</v>
      </c>
      <c r="P21" s="12">
        <f t="shared" ca="1" si="2"/>
        <v>64188</v>
      </c>
    </row>
    <row r="22" spans="3:16" x14ac:dyDescent="0.3">
      <c r="C22" s="11" t="str">
        <f t="shared" ca="1" si="1"/>
        <v>Nandit</v>
      </c>
      <c r="D22" s="10">
        <f t="shared" ca="1" si="1"/>
        <v>6273</v>
      </c>
      <c r="E22" s="10">
        <f t="shared" ca="1" si="1"/>
        <v>2332</v>
      </c>
      <c r="F22" s="10">
        <f t="shared" ca="1" si="1"/>
        <v>5845</v>
      </c>
      <c r="G22" s="10">
        <f t="shared" ca="1" si="1"/>
        <v>8068</v>
      </c>
      <c r="H22" s="10">
        <f t="shared" ca="1" si="1"/>
        <v>4684</v>
      </c>
      <c r="I22" s="10">
        <f t="shared" ca="1" si="1"/>
        <v>3655</v>
      </c>
      <c r="J22" s="10">
        <f t="shared" ca="1" si="1"/>
        <v>8590</v>
      </c>
      <c r="K22" s="10">
        <f t="shared" ca="1" si="1"/>
        <v>4463</v>
      </c>
      <c r="L22" s="10">
        <f t="shared" ca="1" si="1"/>
        <v>1890</v>
      </c>
      <c r="M22" s="10">
        <f t="shared" ca="1" si="1"/>
        <v>2234</v>
      </c>
      <c r="N22" s="10">
        <f t="shared" ca="1" si="1"/>
        <v>824</v>
      </c>
      <c r="O22" s="10">
        <f t="shared" ca="1" si="1"/>
        <v>6882</v>
      </c>
      <c r="P22" s="12">
        <f t="shared" ca="1" si="2"/>
        <v>55740</v>
      </c>
    </row>
    <row r="23" spans="3:16" ht="15" thickBot="1" x14ac:dyDescent="0.35">
      <c r="C23" s="13" t="s">
        <v>18</v>
      </c>
      <c r="D23" s="14">
        <f ca="1">SUM(D6:D22)</f>
        <v>75729</v>
      </c>
      <c r="E23" s="14">
        <f t="shared" ref="E23:O23" ca="1" si="3">SUM(E6:E22)</f>
        <v>55774</v>
      </c>
      <c r="F23" s="14">
        <f t="shared" ca="1" si="3"/>
        <v>78298</v>
      </c>
      <c r="G23" s="14">
        <f t="shared" ca="1" si="3"/>
        <v>71212</v>
      </c>
      <c r="H23" s="14">
        <f t="shared" ca="1" si="3"/>
        <v>79543</v>
      </c>
      <c r="I23" s="14">
        <f t="shared" ca="1" si="3"/>
        <v>87303</v>
      </c>
      <c r="J23" s="14">
        <f t="shared" ca="1" si="3"/>
        <v>74298</v>
      </c>
      <c r="K23" s="14">
        <f t="shared" ca="1" si="3"/>
        <v>71930</v>
      </c>
      <c r="L23" s="14">
        <f t="shared" ca="1" si="3"/>
        <v>63821</v>
      </c>
      <c r="M23" s="14">
        <f t="shared" ca="1" si="3"/>
        <v>84196</v>
      </c>
      <c r="N23" s="14">
        <f t="shared" ca="1" si="3"/>
        <v>78371</v>
      </c>
      <c r="O23" s="14">
        <f t="shared" ca="1" si="3"/>
        <v>77573</v>
      </c>
      <c r="P23" s="15">
        <f t="shared" ref="P23" ca="1" si="4">SUM(P6:P22)</f>
        <v>898048</v>
      </c>
    </row>
    <row r="24" spans="3:16" ht="15" thickTop="1" x14ac:dyDescent="0.3"/>
  </sheetData>
  <mergeCells count="14">
    <mergeCell ref="O4:O5"/>
    <mergeCell ref="P4:P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conditionalFormatting sqref="D6:O22">
    <cfRule type="expression" dxfId="0" priority="2">
      <formula>$C$1=TRUE</formula>
    </cfRule>
    <cfRule type="expression" dxfId="2" priority="3">
      <formula>AND($B$1= TRUE, D6 &lt;= SMALL($D$6:$O$22,10))</formula>
    </cfRule>
    <cfRule type="expression" dxfId="1" priority="5">
      <formula>AND($A$1=TRUE, D6&gt;=LARGE($D$6:$O$22,10))</formula>
    </cfRule>
  </conditionalFormatting>
  <conditionalFormatting sqref="P6:P2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{65FF199D-B3E6-4DC0-88C3-70B3FEBC9C78}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1">
          <controlPr defaultSize="0" autoLine="0" linkedCell="A2" listFillRange="S6:S11" r:id="rId5">
            <anchor moveWithCells="1">
              <from>
                <xdr:col>0</xdr:col>
                <xdr:colOff>746760</xdr:colOff>
                <xdr:row>17</xdr:row>
                <xdr:rowOff>45720</xdr:rowOff>
              </from>
              <to>
                <xdr:col>1</xdr:col>
                <xdr:colOff>708660</xdr:colOff>
                <xdr:row>18</xdr:row>
                <xdr:rowOff>121920</xdr:rowOff>
              </to>
            </anchor>
          </controlPr>
        </control>
      </mc:Choice>
      <mc:Fallback>
        <control shapeId="2050" r:id="rId4" name="ComboBox1"/>
      </mc:Fallback>
    </mc:AlternateContent>
    <mc:AlternateContent xmlns:mc="http://schemas.openxmlformats.org/markup-compatibility/2006">
      <mc:Choice Requires="x14">
        <control shapeId="2055" r:id="rId6" name="Check Box 7">
          <controlPr defaultSize="0" autoFill="0" autoLine="0" autoPict="0">
            <anchor moveWithCells="1">
              <from>
                <xdr:col>0</xdr:col>
                <xdr:colOff>274320</xdr:colOff>
                <xdr:row>9</xdr:row>
                <xdr:rowOff>15240</xdr:rowOff>
              </from>
              <to>
                <xdr:col>1</xdr:col>
                <xdr:colOff>381000</xdr:colOff>
                <xdr:row>10</xdr:row>
                <xdr:rowOff>53340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6" r:id="rId7" name="Check Box 8">
          <controlPr defaultSize="0" autoFill="0" autoLine="0" autoPict="0">
            <anchor moveWithCells="1">
              <from>
                <xdr:col>0</xdr:col>
                <xdr:colOff>274320</xdr:colOff>
                <xdr:row>11</xdr:row>
                <xdr:rowOff>60960</xdr:rowOff>
              </from>
              <to>
                <xdr:col>1</xdr:col>
                <xdr:colOff>403860</xdr:colOff>
                <xdr:row>12</xdr:row>
                <xdr:rowOff>99060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7" r:id="rId8" name="Check Box 9">
          <controlPr defaultSize="0" autoFill="0" autoLine="0" autoPict="0">
            <anchor moveWithCells="1">
              <from>
                <xdr:col>0</xdr:col>
                <xdr:colOff>274320</xdr:colOff>
                <xdr:row>13</xdr:row>
                <xdr:rowOff>99060</xdr:rowOff>
              </from>
              <to>
                <xdr:col>1</xdr:col>
                <xdr:colOff>228600</xdr:colOff>
                <xdr:row>14</xdr:row>
                <xdr:rowOff>137160</xdr:rowOff>
              </to>
            </anchor>
          </controlPr>
        </control>
      </mc:Choice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FF199D-B3E6-4DC0-88C3-70B3FEBC9C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P6:P22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8BF3-F2D5-449E-A921-17BB62230F98}">
  <sheetPr codeName="Sheet2"/>
  <dimension ref="C3:O24"/>
  <sheetViews>
    <sheetView zoomScaleNormal="100" workbookViewId="0">
      <selection activeCell="C4" sqref="C4:O23"/>
    </sheetView>
  </sheetViews>
  <sheetFormatPr defaultRowHeight="14.4" x14ac:dyDescent="0.3"/>
  <cols>
    <col min="3" max="3" width="15.88671875" bestFit="1" customWidth="1"/>
    <col min="4" max="4" width="8.88671875" customWidth="1"/>
    <col min="5" max="7" width="9" bestFit="1" customWidth="1"/>
    <col min="8" max="8" width="9.109375" bestFit="1" customWidth="1"/>
    <col min="9" max="15" width="9" bestFit="1" customWidth="1"/>
  </cols>
  <sheetData>
    <row r="3" spans="3:15" ht="16.2" thickBot="1" x14ac:dyDescent="0.35">
      <c r="C3" s="6" t="s">
        <v>20</v>
      </c>
    </row>
    <row r="4" spans="3:15" ht="15" customHeight="1" thickTop="1" x14ac:dyDescent="0.3">
      <c r="C4" s="25" t="s">
        <v>0</v>
      </c>
      <c r="D4" s="23">
        <v>43831</v>
      </c>
      <c r="E4" s="23">
        <v>43862</v>
      </c>
      <c r="F4" s="23">
        <v>43891</v>
      </c>
      <c r="G4" s="23">
        <v>43922</v>
      </c>
      <c r="H4" s="23">
        <v>43952</v>
      </c>
      <c r="I4" s="23">
        <v>43983</v>
      </c>
      <c r="J4" s="23">
        <v>44013</v>
      </c>
      <c r="K4" s="23">
        <v>44044</v>
      </c>
      <c r="L4" s="23">
        <v>44075</v>
      </c>
      <c r="M4" s="23">
        <v>44105</v>
      </c>
      <c r="N4" s="23">
        <v>44136</v>
      </c>
      <c r="O4" s="27">
        <v>44166</v>
      </c>
    </row>
    <row r="5" spans="3:15" ht="14.4" customHeight="1" x14ac:dyDescent="0.3"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8"/>
    </row>
    <row r="6" spans="3:15" x14ac:dyDescent="0.3">
      <c r="C6" s="1" t="s">
        <v>1</v>
      </c>
      <c r="D6" s="2">
        <v>8047</v>
      </c>
      <c r="E6" s="2">
        <v>5642</v>
      </c>
      <c r="F6" s="2">
        <v>9313</v>
      </c>
      <c r="G6" s="2">
        <v>8134</v>
      </c>
      <c r="H6" s="2">
        <v>5838</v>
      </c>
      <c r="I6" s="2">
        <v>3696</v>
      </c>
      <c r="J6" s="2">
        <v>7857</v>
      </c>
      <c r="K6" s="2">
        <v>9992</v>
      </c>
      <c r="L6" s="2">
        <v>623</v>
      </c>
      <c r="M6" s="2">
        <v>1852</v>
      </c>
      <c r="N6" s="2">
        <v>3633</v>
      </c>
      <c r="O6" s="3">
        <v>8042</v>
      </c>
    </row>
    <row r="7" spans="3:15" x14ac:dyDescent="0.3">
      <c r="C7" s="1" t="s">
        <v>2</v>
      </c>
      <c r="D7" s="2">
        <v>4758</v>
      </c>
      <c r="E7" s="2">
        <v>4514</v>
      </c>
      <c r="F7" s="2">
        <v>7574</v>
      </c>
      <c r="G7" s="2">
        <v>5240</v>
      </c>
      <c r="H7" s="2">
        <v>5904</v>
      </c>
      <c r="I7" s="2">
        <v>7765</v>
      </c>
      <c r="J7" s="2">
        <v>4247</v>
      </c>
      <c r="K7" s="2">
        <v>9601</v>
      </c>
      <c r="L7" s="2">
        <v>2283</v>
      </c>
      <c r="M7" s="2">
        <v>4509</v>
      </c>
      <c r="N7" s="2">
        <v>5269</v>
      </c>
      <c r="O7" s="3">
        <v>8165</v>
      </c>
    </row>
    <row r="8" spans="3:15" x14ac:dyDescent="0.3">
      <c r="C8" s="1" t="s">
        <v>3</v>
      </c>
      <c r="D8" s="2">
        <v>7274</v>
      </c>
      <c r="E8" s="2">
        <v>9982</v>
      </c>
      <c r="F8" s="2">
        <v>3686</v>
      </c>
      <c r="G8" s="2">
        <v>6787</v>
      </c>
      <c r="H8" s="2">
        <v>4036</v>
      </c>
      <c r="I8" s="2">
        <v>2146</v>
      </c>
      <c r="J8" s="2">
        <v>9222</v>
      </c>
      <c r="K8" s="2">
        <v>3468</v>
      </c>
      <c r="L8" s="2">
        <v>9018</v>
      </c>
      <c r="M8" s="2">
        <v>3495</v>
      </c>
      <c r="N8" s="2">
        <v>2686</v>
      </c>
      <c r="O8" s="3">
        <v>4830</v>
      </c>
    </row>
    <row r="9" spans="3:15" x14ac:dyDescent="0.3">
      <c r="C9" s="1" t="s">
        <v>4</v>
      </c>
      <c r="D9" s="2">
        <v>1858</v>
      </c>
      <c r="E9" s="2">
        <v>4327</v>
      </c>
      <c r="F9" s="2">
        <v>5183</v>
      </c>
      <c r="G9" s="2">
        <v>1527</v>
      </c>
      <c r="H9" s="2">
        <v>5448</v>
      </c>
      <c r="I9" s="2">
        <v>6677</v>
      </c>
      <c r="J9" s="2">
        <v>5881</v>
      </c>
      <c r="K9" s="2">
        <v>3729</v>
      </c>
      <c r="L9" s="2">
        <v>7533</v>
      </c>
      <c r="M9" s="2">
        <v>2694</v>
      </c>
      <c r="N9" s="2">
        <v>5083</v>
      </c>
      <c r="O9" s="3">
        <v>1436</v>
      </c>
    </row>
    <row r="10" spans="3:15" x14ac:dyDescent="0.3">
      <c r="C10" s="1" t="s">
        <v>5</v>
      </c>
      <c r="D10" s="2">
        <v>6911</v>
      </c>
      <c r="E10" s="2">
        <v>1149</v>
      </c>
      <c r="F10" s="2">
        <v>5636</v>
      </c>
      <c r="G10" s="2">
        <v>3127</v>
      </c>
      <c r="H10" s="2">
        <v>8353</v>
      </c>
      <c r="I10" s="2">
        <v>6989</v>
      </c>
      <c r="J10" s="2">
        <v>8799</v>
      </c>
      <c r="K10" s="2">
        <v>1957</v>
      </c>
      <c r="L10" s="2">
        <v>1754</v>
      </c>
      <c r="M10" s="2">
        <v>4092</v>
      </c>
      <c r="N10" s="2">
        <v>1199</v>
      </c>
      <c r="O10" s="3">
        <v>3235</v>
      </c>
    </row>
    <row r="11" spans="3:15" x14ac:dyDescent="0.3">
      <c r="C11" s="1" t="s">
        <v>6</v>
      </c>
      <c r="D11" s="2">
        <v>6555</v>
      </c>
      <c r="E11" s="2">
        <v>8493</v>
      </c>
      <c r="F11" s="2">
        <v>4796</v>
      </c>
      <c r="G11" s="2">
        <v>4462</v>
      </c>
      <c r="H11" s="2">
        <v>1762</v>
      </c>
      <c r="I11" s="2">
        <v>7115</v>
      </c>
      <c r="J11" s="2">
        <v>5495</v>
      </c>
      <c r="K11" s="2">
        <v>7857</v>
      </c>
      <c r="L11" s="2">
        <v>9041</v>
      </c>
      <c r="M11" s="2">
        <v>1211</v>
      </c>
      <c r="N11" s="2">
        <v>6637</v>
      </c>
      <c r="O11" s="3">
        <v>3978</v>
      </c>
    </row>
    <row r="12" spans="3:15" x14ac:dyDescent="0.3">
      <c r="C12" s="1" t="s">
        <v>7</v>
      </c>
      <c r="D12" s="2">
        <v>5424</v>
      </c>
      <c r="E12" s="2">
        <v>4945</v>
      </c>
      <c r="F12" s="2">
        <v>8188</v>
      </c>
      <c r="G12" s="2">
        <v>8852</v>
      </c>
      <c r="H12" s="2">
        <v>5526</v>
      </c>
      <c r="I12" s="2">
        <v>2793</v>
      </c>
      <c r="J12" s="2">
        <v>7949</v>
      </c>
      <c r="K12" s="2">
        <v>854</v>
      </c>
      <c r="L12" s="2">
        <v>6309</v>
      </c>
      <c r="M12" s="2">
        <v>1707</v>
      </c>
      <c r="N12" s="2">
        <v>4473</v>
      </c>
      <c r="O12" s="3">
        <v>2560</v>
      </c>
    </row>
    <row r="13" spans="3:15" x14ac:dyDescent="0.3">
      <c r="C13" s="1" t="s">
        <v>8</v>
      </c>
      <c r="D13" s="2">
        <v>5164</v>
      </c>
      <c r="E13" s="2">
        <v>4418</v>
      </c>
      <c r="F13" s="2">
        <v>7191</v>
      </c>
      <c r="G13" s="2">
        <v>8128</v>
      </c>
      <c r="H13" s="2">
        <v>1945</v>
      </c>
      <c r="I13" s="2">
        <v>5317</v>
      </c>
      <c r="J13" s="2">
        <v>4272</v>
      </c>
      <c r="K13" s="2">
        <v>5474</v>
      </c>
      <c r="L13" s="2">
        <v>6265</v>
      </c>
      <c r="M13" s="2">
        <v>3612</v>
      </c>
      <c r="N13" s="2">
        <v>1344</v>
      </c>
      <c r="O13" s="3">
        <v>9100</v>
      </c>
    </row>
    <row r="14" spans="3:15" x14ac:dyDescent="0.3">
      <c r="C14" s="1" t="s">
        <v>9</v>
      </c>
      <c r="D14" s="2">
        <v>1241</v>
      </c>
      <c r="E14" s="2">
        <v>9840</v>
      </c>
      <c r="F14" s="2">
        <v>3260</v>
      </c>
      <c r="G14" s="2">
        <v>7667</v>
      </c>
      <c r="H14" s="2">
        <v>2522</v>
      </c>
      <c r="I14" s="2">
        <v>4745</v>
      </c>
      <c r="J14" s="2">
        <v>8742</v>
      </c>
      <c r="K14" s="2">
        <v>2441</v>
      </c>
      <c r="L14" s="2">
        <v>2576</v>
      </c>
      <c r="M14" s="2">
        <v>5782</v>
      </c>
      <c r="N14" s="2">
        <v>2539</v>
      </c>
      <c r="O14" s="3">
        <v>8244</v>
      </c>
    </row>
    <row r="15" spans="3:15" x14ac:dyDescent="0.3">
      <c r="C15" s="1" t="s">
        <v>10</v>
      </c>
      <c r="D15" s="2">
        <v>2920</v>
      </c>
      <c r="E15" s="2">
        <v>1404</v>
      </c>
      <c r="F15" s="2">
        <v>9558</v>
      </c>
      <c r="G15" s="2">
        <v>8282</v>
      </c>
      <c r="H15" s="2">
        <v>5531</v>
      </c>
      <c r="I15" s="2">
        <v>2769</v>
      </c>
      <c r="J15" s="2">
        <v>7196</v>
      </c>
      <c r="K15" s="2">
        <v>6777</v>
      </c>
      <c r="L15" s="2">
        <v>9123</v>
      </c>
      <c r="M15" s="2">
        <v>1456</v>
      </c>
      <c r="N15" s="2">
        <v>7198</v>
      </c>
      <c r="O15" s="3">
        <v>2675</v>
      </c>
    </row>
    <row r="16" spans="3:15" x14ac:dyDescent="0.3">
      <c r="C16" s="1" t="s">
        <v>11</v>
      </c>
      <c r="D16" s="2">
        <v>3660</v>
      </c>
      <c r="E16" s="2">
        <v>2339</v>
      </c>
      <c r="F16" s="2">
        <v>6539</v>
      </c>
      <c r="G16" s="2">
        <v>1910</v>
      </c>
      <c r="H16" s="2">
        <v>2217</v>
      </c>
      <c r="I16" s="2">
        <v>9143</v>
      </c>
      <c r="J16" s="2">
        <v>2012</v>
      </c>
      <c r="K16" s="2">
        <v>835</v>
      </c>
      <c r="L16" s="2">
        <v>4831</v>
      </c>
      <c r="M16" s="2">
        <v>2714</v>
      </c>
      <c r="N16" s="2">
        <v>8401</v>
      </c>
      <c r="O16" s="3">
        <v>9481</v>
      </c>
    </row>
    <row r="17" spans="3:15" x14ac:dyDescent="0.3">
      <c r="C17" s="1" t="s">
        <v>12</v>
      </c>
      <c r="D17" s="2">
        <v>4519</v>
      </c>
      <c r="E17" s="2">
        <v>588</v>
      </c>
      <c r="F17" s="2">
        <v>853</v>
      </c>
      <c r="G17" s="2">
        <v>3687</v>
      </c>
      <c r="H17" s="2">
        <v>1558</v>
      </c>
      <c r="I17" s="2">
        <v>6864</v>
      </c>
      <c r="J17" s="2">
        <v>6442</v>
      </c>
      <c r="K17" s="2">
        <v>5168</v>
      </c>
      <c r="L17" s="2">
        <v>3022</v>
      </c>
      <c r="M17" s="2">
        <v>5133</v>
      </c>
      <c r="N17" s="2">
        <v>649</v>
      </c>
      <c r="O17" s="3">
        <v>6490</v>
      </c>
    </row>
    <row r="18" spans="3:15" x14ac:dyDescent="0.3">
      <c r="C18" s="1" t="s">
        <v>13</v>
      </c>
      <c r="D18" s="2">
        <v>1022</v>
      </c>
      <c r="E18" s="2">
        <v>6015</v>
      </c>
      <c r="F18" s="2">
        <v>5664</v>
      </c>
      <c r="G18" s="2">
        <v>6907</v>
      </c>
      <c r="H18" s="2">
        <v>9023</v>
      </c>
      <c r="I18" s="2">
        <v>4045</v>
      </c>
      <c r="J18" s="2">
        <v>2300</v>
      </c>
      <c r="K18" s="2">
        <v>3189</v>
      </c>
      <c r="L18" s="2">
        <v>824</v>
      </c>
      <c r="M18" s="2">
        <v>4328</v>
      </c>
      <c r="N18" s="2">
        <v>2568</v>
      </c>
      <c r="O18" s="3">
        <v>2751</v>
      </c>
    </row>
    <row r="19" spans="3:15" x14ac:dyDescent="0.3">
      <c r="C19" s="1" t="s">
        <v>14</v>
      </c>
      <c r="D19" s="2">
        <v>9533</v>
      </c>
      <c r="E19" s="2">
        <v>7737</v>
      </c>
      <c r="F19" s="2">
        <v>9077</v>
      </c>
      <c r="G19" s="2">
        <v>9221</v>
      </c>
      <c r="H19" s="2">
        <v>5415</v>
      </c>
      <c r="I19" s="2">
        <v>7428</v>
      </c>
      <c r="J19" s="2">
        <v>2195</v>
      </c>
      <c r="K19" s="2">
        <v>812</v>
      </c>
      <c r="L19" s="2">
        <v>7751</v>
      </c>
      <c r="M19" s="2">
        <v>1723</v>
      </c>
      <c r="N19" s="2">
        <v>2133</v>
      </c>
      <c r="O19" s="3">
        <v>3722</v>
      </c>
    </row>
    <row r="20" spans="3:15" x14ac:dyDescent="0.3">
      <c r="C20" s="1" t="s">
        <v>15</v>
      </c>
      <c r="D20" s="2">
        <v>9310</v>
      </c>
      <c r="E20" s="2">
        <v>6027</v>
      </c>
      <c r="F20" s="2">
        <v>8799</v>
      </c>
      <c r="G20" s="2">
        <v>2053</v>
      </c>
      <c r="H20" s="2">
        <v>4697</v>
      </c>
      <c r="I20" s="2">
        <v>8164</v>
      </c>
      <c r="J20" s="2">
        <v>5680</v>
      </c>
      <c r="K20" s="2">
        <v>2395</v>
      </c>
      <c r="L20" s="2">
        <v>4241</v>
      </c>
      <c r="M20" s="2">
        <v>2880</v>
      </c>
      <c r="N20" s="2">
        <v>8899</v>
      </c>
      <c r="O20" s="3">
        <v>2939</v>
      </c>
    </row>
    <row r="21" spans="3:15" x14ac:dyDescent="0.3">
      <c r="C21" s="1" t="s">
        <v>16</v>
      </c>
      <c r="D21" s="2">
        <v>1943</v>
      </c>
      <c r="E21" s="2">
        <v>9927</v>
      </c>
      <c r="F21" s="2">
        <v>9490</v>
      </c>
      <c r="G21" s="2">
        <v>8991</v>
      </c>
      <c r="H21" s="2">
        <v>8503</v>
      </c>
      <c r="I21" s="2">
        <v>5899</v>
      </c>
      <c r="J21" s="2">
        <v>1022</v>
      </c>
      <c r="K21" s="2">
        <v>5414</v>
      </c>
      <c r="L21" s="2">
        <v>2499</v>
      </c>
      <c r="M21" s="2">
        <v>7764</v>
      </c>
      <c r="N21" s="2">
        <v>5242</v>
      </c>
      <c r="O21" s="3">
        <v>9019</v>
      </c>
    </row>
    <row r="22" spans="3:15" x14ac:dyDescent="0.3">
      <c r="C22" s="1" t="s">
        <v>17</v>
      </c>
      <c r="D22" s="2">
        <v>8495</v>
      </c>
      <c r="E22" s="2">
        <v>8014</v>
      </c>
      <c r="F22" s="2">
        <v>9042</v>
      </c>
      <c r="G22" s="2">
        <v>6030</v>
      </c>
      <c r="H22" s="2">
        <v>9310</v>
      </c>
      <c r="I22" s="2">
        <v>1046</v>
      </c>
      <c r="J22" s="2">
        <v>8197</v>
      </c>
      <c r="K22" s="2">
        <v>8685</v>
      </c>
      <c r="L22" s="2">
        <v>3422</v>
      </c>
      <c r="M22" s="2">
        <v>8691</v>
      </c>
      <c r="N22" s="2">
        <v>4067</v>
      </c>
      <c r="O22" s="8">
        <v>2310</v>
      </c>
    </row>
    <row r="23" spans="3:15" ht="15" thickBot="1" x14ac:dyDescent="0.35">
      <c r="C23" s="4" t="s">
        <v>18</v>
      </c>
      <c r="D23" s="5">
        <f>SUM(D6:D22)</f>
        <v>88634</v>
      </c>
      <c r="E23" s="5">
        <f t="shared" ref="E23:O23" si="0">SUM(E6:E22)</f>
        <v>95361</v>
      </c>
      <c r="F23" s="5">
        <f t="shared" si="0"/>
        <v>113849</v>
      </c>
      <c r="G23" s="5">
        <f t="shared" si="0"/>
        <v>101005</v>
      </c>
      <c r="H23" s="5">
        <f t="shared" si="0"/>
        <v>87588</v>
      </c>
      <c r="I23" s="5">
        <f t="shared" si="0"/>
        <v>92601</v>
      </c>
      <c r="J23" s="5">
        <f t="shared" si="0"/>
        <v>97508</v>
      </c>
      <c r="K23" s="5">
        <f t="shared" si="0"/>
        <v>78648</v>
      </c>
      <c r="L23" s="5">
        <f t="shared" si="0"/>
        <v>81115</v>
      </c>
      <c r="M23" s="5">
        <f t="shared" si="0"/>
        <v>63643</v>
      </c>
      <c r="N23" s="7">
        <f t="shared" si="0"/>
        <v>72020</v>
      </c>
      <c r="O23" s="9">
        <f t="shared" si="0"/>
        <v>88977</v>
      </c>
    </row>
    <row r="24" spans="3:15" ht="15" thickTop="1" x14ac:dyDescent="0.3"/>
  </sheetData>
  <mergeCells count="13">
    <mergeCell ref="O4:O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ignoredErrors>
    <ignoredError sqref="D23:O2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4F2D-DA43-4786-BEAD-B3F320165E27}">
  <sheetPr codeName="Sheet3"/>
  <dimension ref="C3:O24"/>
  <sheetViews>
    <sheetView workbookViewId="0">
      <selection activeCell="I26" sqref="I26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21</v>
      </c>
    </row>
    <row r="4" spans="3:15" ht="15" customHeight="1" thickTop="1" x14ac:dyDescent="0.3">
      <c r="C4" s="25" t="s">
        <v>0</v>
      </c>
      <c r="D4" s="23">
        <v>44197</v>
      </c>
      <c r="E4" s="23">
        <v>44228</v>
      </c>
      <c r="F4" s="23">
        <v>44256</v>
      </c>
      <c r="G4" s="23">
        <v>44287</v>
      </c>
      <c r="H4" s="23">
        <v>44317</v>
      </c>
      <c r="I4" s="23">
        <v>44348</v>
      </c>
      <c r="J4" s="23">
        <v>44378</v>
      </c>
      <c r="K4" s="23">
        <v>44409</v>
      </c>
      <c r="L4" s="23">
        <v>44440</v>
      </c>
      <c r="M4" s="23">
        <v>44470</v>
      </c>
      <c r="N4" s="23">
        <v>44501</v>
      </c>
      <c r="O4" s="29">
        <v>44531</v>
      </c>
    </row>
    <row r="5" spans="3:15" ht="14.4" customHeight="1" x14ac:dyDescent="0.3"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0"/>
    </row>
    <row r="6" spans="3:15" x14ac:dyDescent="0.3">
      <c r="C6" s="1" t="s">
        <v>1</v>
      </c>
      <c r="D6" s="2">
        <v>4347</v>
      </c>
      <c r="E6" s="2">
        <v>3150</v>
      </c>
      <c r="F6" s="2">
        <v>6862</v>
      </c>
      <c r="G6" s="2">
        <v>2879</v>
      </c>
      <c r="H6" s="2">
        <v>8139</v>
      </c>
      <c r="I6" s="2">
        <v>7297</v>
      </c>
      <c r="J6" s="2">
        <v>1299</v>
      </c>
      <c r="K6" s="2">
        <v>1786</v>
      </c>
      <c r="L6" s="2">
        <v>4357</v>
      </c>
      <c r="M6" s="2">
        <v>3794</v>
      </c>
      <c r="N6" s="2">
        <v>4035</v>
      </c>
      <c r="O6" s="3">
        <v>5056</v>
      </c>
    </row>
    <row r="7" spans="3:15" x14ac:dyDescent="0.3">
      <c r="C7" s="1" t="s">
        <v>2</v>
      </c>
      <c r="D7" s="2">
        <v>4341</v>
      </c>
      <c r="E7" s="2">
        <v>3617</v>
      </c>
      <c r="F7" s="2">
        <v>3721</v>
      </c>
      <c r="G7" s="2">
        <v>4471</v>
      </c>
      <c r="H7" s="2">
        <v>697</v>
      </c>
      <c r="I7" s="2">
        <v>3910</v>
      </c>
      <c r="J7" s="2">
        <v>5874</v>
      </c>
      <c r="K7" s="2">
        <v>820</v>
      </c>
      <c r="L7" s="2">
        <v>5063</v>
      </c>
      <c r="M7" s="2">
        <v>2174</v>
      </c>
      <c r="N7" s="2">
        <v>3381</v>
      </c>
      <c r="O7" s="3">
        <v>4755</v>
      </c>
    </row>
    <row r="8" spans="3:15" x14ac:dyDescent="0.3">
      <c r="C8" s="1" t="s">
        <v>3</v>
      </c>
      <c r="D8" s="2">
        <v>4117</v>
      </c>
      <c r="E8" s="2">
        <v>597</v>
      </c>
      <c r="F8" s="2">
        <v>5985</v>
      </c>
      <c r="G8" s="2">
        <v>457</v>
      </c>
      <c r="H8" s="2">
        <v>8142</v>
      </c>
      <c r="I8" s="2">
        <v>3202</v>
      </c>
      <c r="J8" s="2">
        <v>8876</v>
      </c>
      <c r="K8" s="2">
        <v>3695</v>
      </c>
      <c r="L8" s="2">
        <v>2463</v>
      </c>
      <c r="M8" s="2">
        <v>6051</v>
      </c>
      <c r="N8" s="2">
        <v>677</v>
      </c>
      <c r="O8" s="3">
        <v>3907</v>
      </c>
    </row>
    <row r="9" spans="3:15" x14ac:dyDescent="0.3">
      <c r="C9" s="1" t="s">
        <v>4</v>
      </c>
      <c r="D9" s="2">
        <v>1864</v>
      </c>
      <c r="E9" s="2">
        <v>8736</v>
      </c>
      <c r="F9" s="2">
        <v>5048</v>
      </c>
      <c r="G9" s="2">
        <v>3555</v>
      </c>
      <c r="H9" s="2">
        <v>8607</v>
      </c>
      <c r="I9" s="2">
        <v>1800</v>
      </c>
      <c r="J9" s="2">
        <v>607</v>
      </c>
      <c r="K9" s="2">
        <v>6112</v>
      </c>
      <c r="L9" s="2">
        <v>8400</v>
      </c>
      <c r="M9" s="2">
        <v>484</v>
      </c>
      <c r="N9" s="2">
        <v>4103</v>
      </c>
      <c r="O9" s="3">
        <v>4323</v>
      </c>
    </row>
    <row r="10" spans="3:15" x14ac:dyDescent="0.3">
      <c r="C10" s="1" t="s">
        <v>5</v>
      </c>
      <c r="D10" s="2">
        <v>6999</v>
      </c>
      <c r="E10" s="2">
        <v>7683</v>
      </c>
      <c r="F10" s="2">
        <v>1457</v>
      </c>
      <c r="G10" s="2">
        <v>2934</v>
      </c>
      <c r="H10" s="2">
        <v>7939</v>
      </c>
      <c r="I10" s="2">
        <v>7162</v>
      </c>
      <c r="J10" s="2">
        <v>5278</v>
      </c>
      <c r="K10" s="2">
        <v>1939</v>
      </c>
      <c r="L10" s="2">
        <v>2017</v>
      </c>
      <c r="M10" s="2">
        <v>7439</v>
      </c>
      <c r="N10" s="2">
        <v>342</v>
      </c>
      <c r="O10" s="3">
        <v>981</v>
      </c>
    </row>
    <row r="11" spans="3:15" x14ac:dyDescent="0.3">
      <c r="C11" s="1" t="s">
        <v>6</v>
      </c>
      <c r="D11" s="2">
        <v>5769</v>
      </c>
      <c r="E11" s="2">
        <v>564</v>
      </c>
      <c r="F11" s="2">
        <v>6922</v>
      </c>
      <c r="G11" s="2">
        <v>8357</v>
      </c>
      <c r="H11" s="2">
        <v>3224</v>
      </c>
      <c r="I11" s="2">
        <v>6862</v>
      </c>
      <c r="J11" s="2">
        <v>2103</v>
      </c>
      <c r="K11" s="2">
        <v>647</v>
      </c>
      <c r="L11" s="2">
        <v>5661</v>
      </c>
      <c r="M11" s="2">
        <v>8789</v>
      </c>
      <c r="N11" s="2">
        <v>8516</v>
      </c>
      <c r="O11" s="3">
        <v>8389</v>
      </c>
    </row>
    <row r="12" spans="3:15" x14ac:dyDescent="0.3">
      <c r="C12" s="1" t="s">
        <v>7</v>
      </c>
      <c r="D12" s="2">
        <v>3267</v>
      </c>
      <c r="E12" s="2">
        <v>2439</v>
      </c>
      <c r="F12" s="2">
        <v>8587</v>
      </c>
      <c r="G12" s="2">
        <v>3493</v>
      </c>
      <c r="H12" s="2">
        <v>321</v>
      </c>
      <c r="I12" s="2">
        <v>1272</v>
      </c>
      <c r="J12" s="2">
        <v>8163</v>
      </c>
      <c r="K12" s="2">
        <v>6093</v>
      </c>
      <c r="L12" s="2">
        <v>7211</v>
      </c>
      <c r="M12" s="2">
        <v>3569</v>
      </c>
      <c r="N12" s="2">
        <v>8056</v>
      </c>
      <c r="O12" s="3">
        <v>7645</v>
      </c>
    </row>
    <row r="13" spans="3:15" x14ac:dyDescent="0.3">
      <c r="C13" s="1" t="s">
        <v>8</v>
      </c>
      <c r="D13" s="2">
        <v>5559</v>
      </c>
      <c r="E13" s="2">
        <v>826</v>
      </c>
      <c r="F13" s="2">
        <v>6220</v>
      </c>
      <c r="G13" s="2">
        <v>2294</v>
      </c>
      <c r="H13" s="2">
        <v>4171</v>
      </c>
      <c r="I13" s="2">
        <v>8905</v>
      </c>
      <c r="J13" s="2">
        <v>6560</v>
      </c>
      <c r="K13" s="2">
        <v>6862</v>
      </c>
      <c r="L13" s="2">
        <v>3046</v>
      </c>
      <c r="M13" s="2">
        <v>5195</v>
      </c>
      <c r="N13" s="2">
        <v>3481</v>
      </c>
      <c r="O13" s="3">
        <v>8634</v>
      </c>
    </row>
    <row r="14" spans="3:15" x14ac:dyDescent="0.3">
      <c r="C14" s="1" t="s">
        <v>9</v>
      </c>
      <c r="D14" s="2">
        <v>6726</v>
      </c>
      <c r="E14" s="2">
        <v>3331</v>
      </c>
      <c r="F14" s="2">
        <v>6449</v>
      </c>
      <c r="G14" s="2">
        <v>329</v>
      </c>
      <c r="H14" s="2">
        <v>7730</v>
      </c>
      <c r="I14" s="2">
        <v>5122</v>
      </c>
      <c r="J14" s="2">
        <v>4028</v>
      </c>
      <c r="K14" s="2">
        <v>4628</v>
      </c>
      <c r="L14" s="2">
        <v>8980</v>
      </c>
      <c r="M14" s="2">
        <v>541</v>
      </c>
      <c r="N14" s="2">
        <v>4174</v>
      </c>
      <c r="O14" s="3">
        <v>4049</v>
      </c>
    </row>
    <row r="15" spans="3:15" x14ac:dyDescent="0.3">
      <c r="C15" s="1" t="s">
        <v>10</v>
      </c>
      <c r="D15" s="2">
        <v>5670</v>
      </c>
      <c r="E15" s="2">
        <v>6188</v>
      </c>
      <c r="F15" s="2">
        <v>1149</v>
      </c>
      <c r="G15" s="2">
        <v>4120</v>
      </c>
      <c r="H15" s="2">
        <v>1451</v>
      </c>
      <c r="I15" s="2">
        <v>6049</v>
      </c>
      <c r="J15" s="2">
        <v>625</v>
      </c>
      <c r="K15" s="2">
        <v>5066</v>
      </c>
      <c r="L15" s="2">
        <v>1804</v>
      </c>
      <c r="M15" s="2">
        <v>2498</v>
      </c>
      <c r="N15" s="2">
        <v>7810</v>
      </c>
      <c r="O15" s="3">
        <v>382</v>
      </c>
    </row>
    <row r="16" spans="3:15" x14ac:dyDescent="0.3">
      <c r="C16" s="1" t="s">
        <v>11</v>
      </c>
      <c r="D16" s="2">
        <v>2520</v>
      </c>
      <c r="E16" s="2">
        <v>6532</v>
      </c>
      <c r="F16" s="2">
        <v>301</v>
      </c>
      <c r="G16" s="2">
        <v>4126</v>
      </c>
      <c r="H16" s="2">
        <v>625</v>
      </c>
      <c r="I16" s="2">
        <v>6450</v>
      </c>
      <c r="J16" s="2">
        <v>1644</v>
      </c>
      <c r="K16" s="2">
        <v>8107</v>
      </c>
      <c r="L16" s="2">
        <v>409</v>
      </c>
      <c r="M16" s="2">
        <v>8912</v>
      </c>
      <c r="N16" s="2">
        <v>5879</v>
      </c>
      <c r="O16" s="3">
        <v>2133</v>
      </c>
    </row>
    <row r="17" spans="3:15" x14ac:dyDescent="0.3">
      <c r="C17" s="1" t="s">
        <v>12</v>
      </c>
      <c r="D17" s="2">
        <v>995</v>
      </c>
      <c r="E17" s="2">
        <v>1437</v>
      </c>
      <c r="F17" s="2">
        <v>5441</v>
      </c>
      <c r="G17" s="2">
        <v>5385</v>
      </c>
      <c r="H17" s="2">
        <v>2369</v>
      </c>
      <c r="I17" s="2">
        <v>8355</v>
      </c>
      <c r="J17" s="2">
        <v>1234</v>
      </c>
      <c r="K17" s="2">
        <v>4434</v>
      </c>
      <c r="L17" s="2">
        <v>2362</v>
      </c>
      <c r="M17" s="2">
        <v>5490</v>
      </c>
      <c r="N17" s="2">
        <v>8420</v>
      </c>
      <c r="O17" s="3">
        <v>3628</v>
      </c>
    </row>
    <row r="18" spans="3:15" x14ac:dyDescent="0.3">
      <c r="C18" s="1" t="s">
        <v>13</v>
      </c>
      <c r="D18" s="2">
        <v>3657</v>
      </c>
      <c r="E18" s="2">
        <v>2186</v>
      </c>
      <c r="F18" s="2">
        <v>6530</v>
      </c>
      <c r="G18" s="2">
        <v>5662</v>
      </c>
      <c r="H18" s="2">
        <v>6319</v>
      </c>
      <c r="I18" s="2">
        <v>4215</v>
      </c>
      <c r="J18" s="2">
        <v>6399</v>
      </c>
      <c r="K18" s="2">
        <v>4257</v>
      </c>
      <c r="L18" s="2">
        <v>2293</v>
      </c>
      <c r="M18" s="2">
        <v>6822</v>
      </c>
      <c r="N18" s="2">
        <v>8034</v>
      </c>
      <c r="O18" s="3">
        <v>3623</v>
      </c>
    </row>
    <row r="19" spans="3:15" x14ac:dyDescent="0.3">
      <c r="C19" s="1" t="s">
        <v>14</v>
      </c>
      <c r="D19" s="2">
        <v>5531</v>
      </c>
      <c r="E19" s="2">
        <v>2370</v>
      </c>
      <c r="F19" s="2">
        <v>3177</v>
      </c>
      <c r="G19" s="2">
        <v>5070</v>
      </c>
      <c r="H19" s="2">
        <v>4686</v>
      </c>
      <c r="I19" s="2">
        <v>4404</v>
      </c>
      <c r="J19" s="2">
        <v>3641</v>
      </c>
      <c r="K19" s="2">
        <v>2946</v>
      </c>
      <c r="L19" s="2">
        <v>3080</v>
      </c>
      <c r="M19" s="2">
        <v>4871</v>
      </c>
      <c r="N19" s="2">
        <v>5256</v>
      </c>
      <c r="O19" s="3">
        <v>5556</v>
      </c>
    </row>
    <row r="20" spans="3:15" x14ac:dyDescent="0.3">
      <c r="C20" s="1" t="s">
        <v>15</v>
      </c>
      <c r="D20" s="2">
        <v>1242</v>
      </c>
      <c r="E20" s="2">
        <v>1414</v>
      </c>
      <c r="F20" s="2">
        <v>1195</v>
      </c>
      <c r="G20" s="2">
        <v>5229</v>
      </c>
      <c r="H20" s="2">
        <v>4186</v>
      </c>
      <c r="I20" s="2">
        <v>643</v>
      </c>
      <c r="J20" s="2">
        <v>4399</v>
      </c>
      <c r="K20" s="2">
        <v>2241</v>
      </c>
      <c r="L20" s="2">
        <v>3167</v>
      </c>
      <c r="M20" s="2">
        <v>8563</v>
      </c>
      <c r="N20" s="2">
        <v>207</v>
      </c>
      <c r="O20" s="3">
        <v>1487</v>
      </c>
    </row>
    <row r="21" spans="3:15" x14ac:dyDescent="0.3">
      <c r="C21" s="1" t="s">
        <v>16</v>
      </c>
      <c r="D21" s="2">
        <v>6852</v>
      </c>
      <c r="E21" s="2">
        <v>2372</v>
      </c>
      <c r="F21" s="2">
        <v>3409</v>
      </c>
      <c r="G21" s="2">
        <v>4783</v>
      </c>
      <c r="H21" s="2">
        <v>6253</v>
      </c>
      <c r="I21" s="2">
        <v>8000</v>
      </c>
      <c r="J21" s="2">
        <v>4978</v>
      </c>
      <c r="K21" s="2">
        <v>7834</v>
      </c>
      <c r="L21" s="2">
        <v>1618</v>
      </c>
      <c r="M21" s="2">
        <v>6770</v>
      </c>
      <c r="N21" s="2">
        <v>5176</v>
      </c>
      <c r="O21" s="3">
        <v>6143</v>
      </c>
    </row>
    <row r="22" spans="3:15" x14ac:dyDescent="0.3">
      <c r="C22" s="1" t="s">
        <v>17</v>
      </c>
      <c r="D22" s="2">
        <v>6273</v>
      </c>
      <c r="E22" s="2">
        <v>2332</v>
      </c>
      <c r="F22" s="2">
        <v>5845</v>
      </c>
      <c r="G22" s="2">
        <v>8068</v>
      </c>
      <c r="H22" s="2">
        <v>4684</v>
      </c>
      <c r="I22" s="2">
        <v>3655</v>
      </c>
      <c r="J22" s="2">
        <v>8590</v>
      </c>
      <c r="K22" s="2">
        <v>4463</v>
      </c>
      <c r="L22" s="2">
        <v>1890</v>
      </c>
      <c r="M22" s="2">
        <v>2234</v>
      </c>
      <c r="N22" s="2">
        <v>824</v>
      </c>
      <c r="O22" s="8">
        <v>6882</v>
      </c>
    </row>
    <row r="23" spans="3:15" ht="15" thickBot="1" x14ac:dyDescent="0.35">
      <c r="C23" s="4" t="s">
        <v>18</v>
      </c>
      <c r="D23" s="5">
        <f>SUM(D6:D22)</f>
        <v>75729</v>
      </c>
      <c r="E23" s="5">
        <f t="shared" ref="E23:O23" si="0">SUM(E6:E22)</f>
        <v>55774</v>
      </c>
      <c r="F23" s="5">
        <f t="shared" si="0"/>
        <v>78298</v>
      </c>
      <c r="G23" s="5">
        <f t="shared" si="0"/>
        <v>71212</v>
      </c>
      <c r="H23" s="5">
        <f t="shared" si="0"/>
        <v>79543</v>
      </c>
      <c r="I23" s="5">
        <f t="shared" si="0"/>
        <v>87303</v>
      </c>
      <c r="J23" s="5">
        <f t="shared" si="0"/>
        <v>74298</v>
      </c>
      <c r="K23" s="5">
        <f t="shared" si="0"/>
        <v>71930</v>
      </c>
      <c r="L23" s="5">
        <f t="shared" si="0"/>
        <v>63821</v>
      </c>
      <c r="M23" s="5">
        <f t="shared" si="0"/>
        <v>84196</v>
      </c>
      <c r="N23" s="7">
        <f t="shared" si="0"/>
        <v>78371</v>
      </c>
      <c r="O23" s="9">
        <f t="shared" si="0"/>
        <v>77573</v>
      </c>
    </row>
    <row r="24" spans="3:15" ht="15" thickTop="1" x14ac:dyDescent="0.3"/>
  </sheetData>
  <mergeCells count="13">
    <mergeCell ref="O4:O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ignoredErrors>
    <ignoredError sqref="D23:O2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E7F-475A-4521-AA2C-E0B2F4D920B0}">
  <sheetPr codeName="Sheet4"/>
  <dimension ref="C3:O24"/>
  <sheetViews>
    <sheetView workbookViewId="0">
      <selection activeCell="F26" sqref="F26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22</v>
      </c>
    </row>
    <row r="4" spans="3:15" ht="15" customHeight="1" thickTop="1" x14ac:dyDescent="0.3">
      <c r="C4" s="25" t="s">
        <v>0</v>
      </c>
      <c r="D4" s="23">
        <v>44562</v>
      </c>
      <c r="E4" s="23">
        <v>44593</v>
      </c>
      <c r="F4" s="23">
        <v>44621</v>
      </c>
      <c r="G4" s="23">
        <v>44652</v>
      </c>
      <c r="H4" s="23">
        <v>44682</v>
      </c>
      <c r="I4" s="23">
        <v>44713</v>
      </c>
      <c r="J4" s="23">
        <v>44743</v>
      </c>
      <c r="K4" s="23">
        <v>44774</v>
      </c>
      <c r="L4" s="23">
        <v>44805</v>
      </c>
      <c r="M4" s="23">
        <v>44835</v>
      </c>
      <c r="N4" s="23">
        <v>44866</v>
      </c>
      <c r="O4" s="29">
        <v>44896</v>
      </c>
    </row>
    <row r="5" spans="3:15" ht="14.4" customHeight="1" x14ac:dyDescent="0.3"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0"/>
    </row>
    <row r="6" spans="3:15" x14ac:dyDescent="0.3">
      <c r="C6" s="1" t="s">
        <v>1</v>
      </c>
      <c r="D6" s="2">
        <v>2635</v>
      </c>
      <c r="E6" s="2">
        <v>1888</v>
      </c>
      <c r="F6" s="2">
        <v>398</v>
      </c>
      <c r="G6" s="2">
        <v>4232</v>
      </c>
      <c r="H6" s="2">
        <v>2930</v>
      </c>
      <c r="I6" s="2">
        <v>463</v>
      </c>
      <c r="J6" s="2">
        <v>424</v>
      </c>
      <c r="K6" s="2">
        <v>598</v>
      </c>
      <c r="L6" s="2">
        <v>1202</v>
      </c>
      <c r="M6" s="2">
        <v>1704</v>
      </c>
      <c r="N6" s="2">
        <v>1952</v>
      </c>
      <c r="O6" s="3">
        <v>3637</v>
      </c>
    </row>
    <row r="7" spans="3:15" x14ac:dyDescent="0.3">
      <c r="C7" s="1" t="s">
        <v>2</v>
      </c>
      <c r="D7" s="2">
        <v>1551</v>
      </c>
      <c r="E7" s="2">
        <v>1032</v>
      </c>
      <c r="F7" s="2">
        <v>2364</v>
      </c>
      <c r="G7" s="2">
        <v>4765</v>
      </c>
      <c r="H7" s="2">
        <v>1081</v>
      </c>
      <c r="I7" s="2">
        <v>4323</v>
      </c>
      <c r="J7" s="2">
        <v>2260</v>
      </c>
      <c r="K7" s="2">
        <v>1140</v>
      </c>
      <c r="L7" s="2">
        <v>2125</v>
      </c>
      <c r="M7" s="2">
        <v>1247</v>
      </c>
      <c r="N7" s="2">
        <v>2203</v>
      </c>
      <c r="O7" s="3">
        <v>331</v>
      </c>
    </row>
    <row r="8" spans="3:15" x14ac:dyDescent="0.3">
      <c r="C8" s="1" t="s">
        <v>3</v>
      </c>
      <c r="D8" s="2">
        <v>4274</v>
      </c>
      <c r="E8" s="2">
        <v>2805</v>
      </c>
      <c r="F8" s="2">
        <v>2195</v>
      </c>
      <c r="G8" s="2">
        <v>3460</v>
      </c>
      <c r="H8" s="2">
        <v>1085</v>
      </c>
      <c r="I8" s="2">
        <v>3235</v>
      </c>
      <c r="J8" s="2">
        <v>152</v>
      </c>
      <c r="K8" s="2">
        <v>2280</v>
      </c>
      <c r="L8" s="2">
        <v>3410</v>
      </c>
      <c r="M8" s="2">
        <v>1264</v>
      </c>
      <c r="N8" s="2">
        <v>1816</v>
      </c>
      <c r="O8" s="3">
        <v>3772</v>
      </c>
    </row>
    <row r="9" spans="3:15" x14ac:dyDescent="0.3">
      <c r="C9" s="1" t="s">
        <v>4</v>
      </c>
      <c r="D9" s="2">
        <v>4176</v>
      </c>
      <c r="E9" s="2">
        <v>4509</v>
      </c>
      <c r="F9" s="2">
        <v>1429</v>
      </c>
      <c r="G9" s="2">
        <v>3874</v>
      </c>
      <c r="H9" s="2">
        <v>227</v>
      </c>
      <c r="I9" s="2">
        <v>379</v>
      </c>
      <c r="J9" s="2">
        <v>4277</v>
      </c>
      <c r="K9" s="2">
        <v>2939</v>
      </c>
      <c r="L9" s="2">
        <v>4244</v>
      </c>
      <c r="M9" s="2">
        <v>2707</v>
      </c>
      <c r="N9" s="2">
        <v>3905</v>
      </c>
      <c r="O9" s="3">
        <v>3273</v>
      </c>
    </row>
    <row r="10" spans="3:15" x14ac:dyDescent="0.3">
      <c r="C10" s="1" t="s">
        <v>5</v>
      </c>
      <c r="D10" s="2">
        <v>3422</v>
      </c>
      <c r="E10" s="2">
        <v>1640</v>
      </c>
      <c r="F10" s="2">
        <v>2343</v>
      </c>
      <c r="G10" s="2">
        <v>3278</v>
      </c>
      <c r="H10" s="2">
        <v>1962</v>
      </c>
      <c r="I10" s="2">
        <v>3526</v>
      </c>
      <c r="J10" s="2">
        <v>4914</v>
      </c>
      <c r="K10" s="2">
        <v>263</v>
      </c>
      <c r="L10" s="2">
        <v>640</v>
      </c>
      <c r="M10" s="2">
        <v>1146</v>
      </c>
      <c r="N10" s="2">
        <v>2511</v>
      </c>
      <c r="O10" s="3">
        <v>4286</v>
      </c>
    </row>
    <row r="11" spans="3:15" x14ac:dyDescent="0.3">
      <c r="C11" s="1" t="s">
        <v>6</v>
      </c>
      <c r="D11" s="2">
        <v>2173</v>
      </c>
      <c r="E11" s="2">
        <v>4794</v>
      </c>
      <c r="F11" s="2">
        <v>1406</v>
      </c>
      <c r="G11" s="2">
        <v>749</v>
      </c>
      <c r="H11" s="2">
        <v>4951</v>
      </c>
      <c r="I11" s="2">
        <v>3553</v>
      </c>
      <c r="J11" s="2">
        <v>3562</v>
      </c>
      <c r="K11" s="2">
        <v>3438</v>
      </c>
      <c r="L11" s="2">
        <v>3521</v>
      </c>
      <c r="M11" s="2">
        <v>1500</v>
      </c>
      <c r="N11" s="2">
        <v>1850</v>
      </c>
      <c r="O11" s="3">
        <v>937</v>
      </c>
    </row>
    <row r="12" spans="3:15" x14ac:dyDescent="0.3">
      <c r="C12" s="1" t="s">
        <v>7</v>
      </c>
      <c r="D12" s="2">
        <v>4222</v>
      </c>
      <c r="E12" s="2">
        <v>885</v>
      </c>
      <c r="F12" s="2">
        <v>3354</v>
      </c>
      <c r="G12" s="2">
        <v>857</v>
      </c>
      <c r="H12" s="2">
        <v>2569</v>
      </c>
      <c r="I12" s="2">
        <v>1687</v>
      </c>
      <c r="J12" s="2">
        <v>464</v>
      </c>
      <c r="K12" s="2">
        <v>1102</v>
      </c>
      <c r="L12" s="2">
        <v>2013</v>
      </c>
      <c r="M12" s="2">
        <v>3313</v>
      </c>
      <c r="N12" s="2">
        <v>4251</v>
      </c>
      <c r="O12" s="3">
        <v>2914</v>
      </c>
    </row>
    <row r="13" spans="3:15" x14ac:dyDescent="0.3">
      <c r="C13" s="1" t="s">
        <v>8</v>
      </c>
      <c r="D13" s="2">
        <v>3816</v>
      </c>
      <c r="E13" s="2">
        <v>4835</v>
      </c>
      <c r="F13" s="2">
        <v>939</v>
      </c>
      <c r="G13" s="2">
        <v>1168</v>
      </c>
      <c r="H13" s="2">
        <v>4594</v>
      </c>
      <c r="I13" s="2">
        <v>1032</v>
      </c>
      <c r="J13" s="2">
        <v>3222</v>
      </c>
      <c r="K13" s="2">
        <v>1022</v>
      </c>
      <c r="L13" s="2">
        <v>759</v>
      </c>
      <c r="M13" s="2">
        <v>2679</v>
      </c>
      <c r="N13" s="2">
        <v>3632</v>
      </c>
      <c r="O13" s="3">
        <v>3649</v>
      </c>
    </row>
    <row r="14" spans="3:15" x14ac:dyDescent="0.3">
      <c r="C14" s="1" t="s">
        <v>9</v>
      </c>
      <c r="D14" s="2">
        <v>4168</v>
      </c>
      <c r="E14" s="2">
        <v>4075</v>
      </c>
      <c r="F14" s="2">
        <v>2101</v>
      </c>
      <c r="G14" s="2">
        <v>2915</v>
      </c>
      <c r="H14" s="2">
        <v>1839</v>
      </c>
      <c r="I14" s="2">
        <v>2642</v>
      </c>
      <c r="J14" s="2">
        <v>1671</v>
      </c>
      <c r="K14" s="2">
        <v>3719</v>
      </c>
      <c r="L14" s="2">
        <v>2540</v>
      </c>
      <c r="M14" s="2">
        <v>114</v>
      </c>
      <c r="N14" s="2">
        <v>3448</v>
      </c>
      <c r="O14" s="3">
        <v>3317</v>
      </c>
    </row>
    <row r="15" spans="3:15" x14ac:dyDescent="0.3">
      <c r="C15" s="1" t="s">
        <v>10</v>
      </c>
      <c r="D15" s="2">
        <v>735</v>
      </c>
      <c r="E15" s="2">
        <v>3355</v>
      </c>
      <c r="F15" s="2">
        <v>1036</v>
      </c>
      <c r="G15" s="2">
        <v>3136</v>
      </c>
      <c r="H15" s="2">
        <v>2242</v>
      </c>
      <c r="I15" s="2">
        <v>113</v>
      </c>
      <c r="J15" s="2">
        <v>1646</v>
      </c>
      <c r="K15" s="2">
        <v>4541</v>
      </c>
      <c r="L15" s="2">
        <v>2570</v>
      </c>
      <c r="M15" s="2">
        <v>3761</v>
      </c>
      <c r="N15" s="2">
        <v>2933</v>
      </c>
      <c r="O15" s="3">
        <v>576</v>
      </c>
    </row>
    <row r="16" spans="3:15" x14ac:dyDescent="0.3">
      <c r="C16" s="1" t="s">
        <v>11</v>
      </c>
      <c r="D16" s="2">
        <v>2676</v>
      </c>
      <c r="E16" s="2">
        <v>4833</v>
      </c>
      <c r="F16" s="2">
        <v>2463</v>
      </c>
      <c r="G16" s="2">
        <v>1411</v>
      </c>
      <c r="H16" s="2">
        <v>4168</v>
      </c>
      <c r="I16" s="2">
        <v>864</v>
      </c>
      <c r="J16" s="2">
        <v>589</v>
      </c>
      <c r="K16" s="2">
        <v>1825</v>
      </c>
      <c r="L16" s="2">
        <v>1950</v>
      </c>
      <c r="M16" s="2">
        <v>992</v>
      </c>
      <c r="N16" s="2">
        <v>4094</v>
      </c>
      <c r="O16" s="3">
        <v>1992</v>
      </c>
    </row>
    <row r="17" spans="3:15" x14ac:dyDescent="0.3">
      <c r="C17" s="1" t="s">
        <v>12</v>
      </c>
      <c r="D17" s="2">
        <v>2653</v>
      </c>
      <c r="E17" s="2">
        <v>981</v>
      </c>
      <c r="F17" s="2">
        <v>499</v>
      </c>
      <c r="G17" s="2">
        <v>845</v>
      </c>
      <c r="H17" s="2">
        <v>3296</v>
      </c>
      <c r="I17" s="2">
        <v>2207</v>
      </c>
      <c r="J17" s="2">
        <v>1943</v>
      </c>
      <c r="K17" s="2">
        <v>4770</v>
      </c>
      <c r="L17" s="2">
        <v>4956</v>
      </c>
      <c r="M17" s="2">
        <v>3947</v>
      </c>
      <c r="N17" s="2">
        <v>1504</v>
      </c>
      <c r="O17" s="3">
        <v>172</v>
      </c>
    </row>
    <row r="18" spans="3:15" x14ac:dyDescent="0.3">
      <c r="C18" s="1" t="s">
        <v>13</v>
      </c>
      <c r="D18" s="2">
        <v>3873</v>
      </c>
      <c r="E18" s="2">
        <v>2460</v>
      </c>
      <c r="F18" s="2">
        <v>3201</v>
      </c>
      <c r="G18" s="2">
        <v>2791</v>
      </c>
      <c r="H18" s="2">
        <v>395</v>
      </c>
      <c r="I18" s="2">
        <v>354</v>
      </c>
      <c r="J18" s="2">
        <v>2192</v>
      </c>
      <c r="K18" s="2">
        <v>2283</v>
      </c>
      <c r="L18" s="2">
        <v>4101</v>
      </c>
      <c r="M18" s="2">
        <v>501</v>
      </c>
      <c r="N18" s="2">
        <v>3804</v>
      </c>
      <c r="O18" s="3">
        <v>1571</v>
      </c>
    </row>
    <row r="19" spans="3:15" x14ac:dyDescent="0.3">
      <c r="C19" s="1" t="s">
        <v>14</v>
      </c>
      <c r="D19" s="2">
        <v>4924</v>
      </c>
      <c r="E19" s="2">
        <v>4693</v>
      </c>
      <c r="F19" s="2">
        <v>2922</v>
      </c>
      <c r="G19" s="2">
        <v>123</v>
      </c>
      <c r="H19" s="2">
        <v>4098</v>
      </c>
      <c r="I19" s="2">
        <v>4950</v>
      </c>
      <c r="J19" s="2">
        <v>279</v>
      </c>
      <c r="K19" s="2">
        <v>476</v>
      </c>
      <c r="L19" s="2">
        <v>3898</v>
      </c>
      <c r="M19" s="2">
        <v>814</v>
      </c>
      <c r="N19" s="2">
        <v>3610</v>
      </c>
      <c r="O19" s="3">
        <v>2447</v>
      </c>
    </row>
    <row r="20" spans="3:15" x14ac:dyDescent="0.3">
      <c r="C20" s="1" t="s">
        <v>15</v>
      </c>
      <c r="D20" s="2">
        <v>2819</v>
      </c>
      <c r="E20" s="2">
        <v>797</v>
      </c>
      <c r="F20" s="2">
        <v>4745</v>
      </c>
      <c r="G20" s="2">
        <v>3086</v>
      </c>
      <c r="H20" s="2">
        <v>3874</v>
      </c>
      <c r="I20" s="2">
        <v>877</v>
      </c>
      <c r="J20" s="2">
        <v>2907</v>
      </c>
      <c r="K20" s="2">
        <v>4009</v>
      </c>
      <c r="L20" s="2">
        <v>437</v>
      </c>
      <c r="M20" s="2">
        <v>4169</v>
      </c>
      <c r="N20" s="2">
        <v>3093</v>
      </c>
      <c r="O20" s="3">
        <v>758</v>
      </c>
    </row>
    <row r="21" spans="3:15" x14ac:dyDescent="0.3">
      <c r="C21" s="1" t="s">
        <v>16</v>
      </c>
      <c r="D21" s="2">
        <v>3702</v>
      </c>
      <c r="E21" s="2">
        <v>3024</v>
      </c>
      <c r="F21" s="2">
        <v>3002</v>
      </c>
      <c r="G21" s="2">
        <v>3201</v>
      </c>
      <c r="H21" s="2">
        <v>1154</v>
      </c>
      <c r="I21" s="2">
        <v>507</v>
      </c>
      <c r="J21" s="2">
        <v>4062</v>
      </c>
      <c r="K21" s="2">
        <v>4952</v>
      </c>
      <c r="L21" s="2">
        <v>1877</v>
      </c>
      <c r="M21" s="2">
        <v>3164</v>
      </c>
      <c r="N21" s="2">
        <v>1013</v>
      </c>
      <c r="O21" s="3">
        <v>4024</v>
      </c>
    </row>
    <row r="22" spans="3:15" x14ac:dyDescent="0.3">
      <c r="C22" s="1" t="s">
        <v>17</v>
      </c>
      <c r="D22" s="2">
        <v>3546</v>
      </c>
      <c r="E22" s="2">
        <v>4442</v>
      </c>
      <c r="F22" s="2">
        <v>3766</v>
      </c>
      <c r="G22" s="2">
        <v>2822</v>
      </c>
      <c r="H22" s="2">
        <v>857</v>
      </c>
      <c r="I22" s="2">
        <v>4690</v>
      </c>
      <c r="J22" s="2">
        <v>1462</v>
      </c>
      <c r="K22" s="2">
        <v>4741</v>
      </c>
      <c r="L22" s="2">
        <v>3253</v>
      </c>
      <c r="M22" s="2">
        <v>2069</v>
      </c>
      <c r="N22" s="2">
        <v>681</v>
      </c>
      <c r="O22" s="8">
        <v>559</v>
      </c>
    </row>
    <row r="23" spans="3:15" ht="15" thickBot="1" x14ac:dyDescent="0.35">
      <c r="C23" s="4" t="s">
        <v>18</v>
      </c>
      <c r="D23" s="5">
        <f>SUM(D6:D22)</f>
        <v>55365</v>
      </c>
      <c r="E23" s="5">
        <f t="shared" ref="E23:O23" si="0">SUM(E6:E22)</f>
        <v>51048</v>
      </c>
      <c r="F23" s="5">
        <f t="shared" si="0"/>
        <v>38163</v>
      </c>
      <c r="G23" s="5">
        <f t="shared" si="0"/>
        <v>42713</v>
      </c>
      <c r="H23" s="5">
        <f t="shared" si="0"/>
        <v>41322</v>
      </c>
      <c r="I23" s="5">
        <f t="shared" si="0"/>
        <v>35402</v>
      </c>
      <c r="J23" s="5">
        <f t="shared" si="0"/>
        <v>36026</v>
      </c>
      <c r="K23" s="5">
        <f t="shared" si="0"/>
        <v>44098</v>
      </c>
      <c r="L23" s="5">
        <f t="shared" si="0"/>
        <v>43496</v>
      </c>
      <c r="M23" s="5">
        <f t="shared" si="0"/>
        <v>35091</v>
      </c>
      <c r="N23" s="7">
        <f t="shared" si="0"/>
        <v>46300</v>
      </c>
      <c r="O23" s="9">
        <f t="shared" si="0"/>
        <v>38215</v>
      </c>
    </row>
    <row r="24" spans="3:15" ht="15" thickTop="1" x14ac:dyDescent="0.3"/>
  </sheetData>
  <mergeCells count="13">
    <mergeCell ref="O4:O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ignoredErrors>
    <ignoredError sqref="D23:O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9AAE-0B1C-494D-BDFA-B4F65A89CF54}">
  <sheetPr codeName="Sheet5"/>
  <dimension ref="C3:O24"/>
  <sheetViews>
    <sheetView workbookViewId="0">
      <selection activeCell="G27" sqref="G27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23</v>
      </c>
    </row>
    <row r="4" spans="3:15" ht="15" customHeight="1" thickTop="1" x14ac:dyDescent="0.3">
      <c r="C4" s="25" t="s">
        <v>0</v>
      </c>
      <c r="D4" s="23">
        <v>44927</v>
      </c>
      <c r="E4" s="23">
        <v>44958</v>
      </c>
      <c r="F4" s="23">
        <v>44986</v>
      </c>
      <c r="G4" s="23">
        <v>45017</v>
      </c>
      <c r="H4" s="23">
        <v>45047</v>
      </c>
      <c r="I4" s="23">
        <v>45078</v>
      </c>
      <c r="J4" s="23">
        <v>45108</v>
      </c>
      <c r="K4" s="23">
        <v>45139</v>
      </c>
      <c r="L4" s="23">
        <v>45170</v>
      </c>
      <c r="M4" s="23">
        <v>45200</v>
      </c>
      <c r="N4" s="23">
        <v>45231</v>
      </c>
      <c r="O4" s="29">
        <v>45261</v>
      </c>
    </row>
    <row r="5" spans="3:15" ht="14.4" customHeight="1" x14ac:dyDescent="0.3"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0"/>
    </row>
    <row r="6" spans="3:15" x14ac:dyDescent="0.3">
      <c r="C6" s="1" t="s">
        <v>1</v>
      </c>
      <c r="D6" s="2">
        <v>5721</v>
      </c>
      <c r="E6" s="2">
        <v>2636</v>
      </c>
      <c r="F6" s="2">
        <v>4501</v>
      </c>
      <c r="G6" s="2">
        <v>1820</v>
      </c>
      <c r="H6" s="2">
        <v>5222</v>
      </c>
      <c r="I6" s="2">
        <v>1842</v>
      </c>
      <c r="J6" s="2">
        <v>4647</v>
      </c>
      <c r="K6" s="2">
        <v>2990</v>
      </c>
      <c r="L6" s="2">
        <v>5855</v>
      </c>
      <c r="M6" s="2">
        <v>2891</v>
      </c>
      <c r="N6" s="2">
        <v>5685</v>
      </c>
      <c r="O6" s="3">
        <v>5153</v>
      </c>
    </row>
    <row r="7" spans="3:15" x14ac:dyDescent="0.3">
      <c r="C7" s="1" t="s">
        <v>2</v>
      </c>
      <c r="D7" s="2">
        <v>4559</v>
      </c>
      <c r="E7" s="2">
        <v>1406</v>
      </c>
      <c r="F7" s="2">
        <v>4290</v>
      </c>
      <c r="G7" s="2">
        <v>3957</v>
      </c>
      <c r="H7" s="2">
        <v>1433</v>
      </c>
      <c r="I7" s="2">
        <v>4691</v>
      </c>
      <c r="J7" s="2">
        <v>3216</v>
      </c>
      <c r="K7" s="2">
        <v>3616</v>
      </c>
      <c r="L7" s="2">
        <v>3110</v>
      </c>
      <c r="M7" s="2">
        <v>5596</v>
      </c>
      <c r="N7" s="2">
        <v>5855</v>
      </c>
      <c r="O7" s="3">
        <v>2792</v>
      </c>
    </row>
    <row r="8" spans="3:15" x14ac:dyDescent="0.3">
      <c r="C8" s="1" t="s">
        <v>3</v>
      </c>
      <c r="D8" s="2">
        <v>2182</v>
      </c>
      <c r="E8" s="2">
        <v>4564</v>
      </c>
      <c r="F8" s="2">
        <v>5545</v>
      </c>
      <c r="G8" s="2">
        <v>2208</v>
      </c>
      <c r="H8" s="2">
        <v>5964</v>
      </c>
      <c r="I8" s="2">
        <v>4449</v>
      </c>
      <c r="J8" s="2">
        <v>1224</v>
      </c>
      <c r="K8" s="2">
        <v>4033</v>
      </c>
      <c r="L8" s="2">
        <v>5355</v>
      </c>
      <c r="M8" s="2">
        <v>2042</v>
      </c>
      <c r="N8" s="2">
        <v>5772</v>
      </c>
      <c r="O8" s="3">
        <v>3980</v>
      </c>
    </row>
    <row r="9" spans="3:15" x14ac:dyDescent="0.3">
      <c r="C9" s="1" t="s">
        <v>4</v>
      </c>
      <c r="D9" s="2">
        <v>5211</v>
      </c>
      <c r="E9" s="2">
        <v>5358</v>
      </c>
      <c r="F9" s="2">
        <v>4204</v>
      </c>
      <c r="G9" s="2">
        <v>1204</v>
      </c>
      <c r="H9" s="2">
        <v>3903</v>
      </c>
      <c r="I9" s="2">
        <v>4732</v>
      </c>
      <c r="J9" s="2">
        <v>1580</v>
      </c>
      <c r="K9" s="2">
        <v>1741</v>
      </c>
      <c r="L9" s="2">
        <v>1545</v>
      </c>
      <c r="M9" s="2">
        <v>5647</v>
      </c>
      <c r="N9" s="2">
        <v>4456</v>
      </c>
      <c r="O9" s="3">
        <v>5992</v>
      </c>
    </row>
    <row r="10" spans="3:15" x14ac:dyDescent="0.3">
      <c r="C10" s="1" t="s">
        <v>5</v>
      </c>
      <c r="D10" s="2">
        <v>2166</v>
      </c>
      <c r="E10" s="2">
        <v>4960</v>
      </c>
      <c r="F10" s="2">
        <v>3075</v>
      </c>
      <c r="G10" s="2">
        <v>3488</v>
      </c>
      <c r="H10" s="2">
        <v>1236</v>
      </c>
      <c r="I10" s="2">
        <v>1480</v>
      </c>
      <c r="J10" s="2">
        <v>5391</v>
      </c>
      <c r="K10" s="2">
        <v>4794</v>
      </c>
      <c r="L10" s="2">
        <v>1886</v>
      </c>
      <c r="M10" s="2">
        <v>5551</v>
      </c>
      <c r="N10" s="2">
        <v>3624</v>
      </c>
      <c r="O10" s="3">
        <v>3215</v>
      </c>
    </row>
    <row r="11" spans="3:15" x14ac:dyDescent="0.3">
      <c r="C11" s="1" t="s">
        <v>6</v>
      </c>
      <c r="D11" s="2">
        <v>1750</v>
      </c>
      <c r="E11" s="2">
        <v>3728</v>
      </c>
      <c r="F11" s="2">
        <v>2438</v>
      </c>
      <c r="G11" s="2">
        <v>5572</v>
      </c>
      <c r="H11" s="2">
        <v>3837</v>
      </c>
      <c r="I11" s="2">
        <v>1884</v>
      </c>
      <c r="J11" s="2">
        <v>2131</v>
      </c>
      <c r="K11" s="2">
        <v>4480</v>
      </c>
      <c r="L11" s="2">
        <v>3226</v>
      </c>
      <c r="M11" s="2">
        <v>2273</v>
      </c>
      <c r="N11" s="2">
        <v>4493</v>
      </c>
      <c r="O11" s="3">
        <v>3799</v>
      </c>
    </row>
    <row r="12" spans="3:15" x14ac:dyDescent="0.3">
      <c r="C12" s="1" t="s">
        <v>7</v>
      </c>
      <c r="D12" s="2">
        <v>4106</v>
      </c>
      <c r="E12" s="2">
        <v>1315</v>
      </c>
      <c r="F12" s="2">
        <v>1337</v>
      </c>
      <c r="G12" s="2">
        <v>1382</v>
      </c>
      <c r="H12" s="2">
        <v>4525</v>
      </c>
      <c r="I12" s="2">
        <v>3617</v>
      </c>
      <c r="J12" s="2">
        <v>1922</v>
      </c>
      <c r="K12" s="2">
        <v>5769</v>
      </c>
      <c r="L12" s="2">
        <v>3759</v>
      </c>
      <c r="M12" s="2">
        <v>4655</v>
      </c>
      <c r="N12" s="2">
        <v>4317</v>
      </c>
      <c r="O12" s="3">
        <v>1359</v>
      </c>
    </row>
    <row r="13" spans="3:15" x14ac:dyDescent="0.3">
      <c r="C13" s="1" t="s">
        <v>8</v>
      </c>
      <c r="D13" s="2">
        <v>5051</v>
      </c>
      <c r="E13" s="2">
        <v>2666</v>
      </c>
      <c r="F13" s="2">
        <v>1185</v>
      </c>
      <c r="G13" s="2">
        <v>5433</v>
      </c>
      <c r="H13" s="2">
        <v>1479</v>
      </c>
      <c r="I13" s="2">
        <v>3736</v>
      </c>
      <c r="J13" s="2">
        <v>2390</v>
      </c>
      <c r="K13" s="2">
        <v>5868</v>
      </c>
      <c r="L13" s="2">
        <v>4668</v>
      </c>
      <c r="M13" s="2">
        <v>2224</v>
      </c>
      <c r="N13" s="2">
        <v>3905</v>
      </c>
      <c r="O13" s="3">
        <v>3154</v>
      </c>
    </row>
    <row r="14" spans="3:15" x14ac:dyDescent="0.3">
      <c r="C14" s="1" t="s">
        <v>9</v>
      </c>
      <c r="D14" s="2">
        <v>5583</v>
      </c>
      <c r="E14" s="2">
        <v>2450</v>
      </c>
      <c r="F14" s="2">
        <v>2323</v>
      </c>
      <c r="G14" s="2">
        <v>1091</v>
      </c>
      <c r="H14" s="2">
        <v>2479</v>
      </c>
      <c r="I14" s="2">
        <v>1002</v>
      </c>
      <c r="J14" s="2">
        <v>5593</v>
      </c>
      <c r="K14" s="2">
        <v>4124</v>
      </c>
      <c r="L14" s="2">
        <v>5840</v>
      </c>
      <c r="M14" s="2">
        <v>1655</v>
      </c>
      <c r="N14" s="2">
        <v>5303</v>
      </c>
      <c r="O14" s="3">
        <v>4420</v>
      </c>
    </row>
    <row r="15" spans="3:15" x14ac:dyDescent="0.3">
      <c r="C15" s="1" t="s">
        <v>10</v>
      </c>
      <c r="D15" s="2">
        <v>4446</v>
      </c>
      <c r="E15" s="2">
        <v>3797</v>
      </c>
      <c r="F15" s="2">
        <v>3886</v>
      </c>
      <c r="G15" s="2">
        <v>3642</v>
      </c>
      <c r="H15" s="2">
        <v>4423</v>
      </c>
      <c r="I15" s="2">
        <v>2587</v>
      </c>
      <c r="J15" s="2">
        <v>2611</v>
      </c>
      <c r="K15" s="2">
        <v>2144</v>
      </c>
      <c r="L15" s="2">
        <v>3520</v>
      </c>
      <c r="M15" s="2">
        <v>1410</v>
      </c>
      <c r="N15" s="2">
        <v>4923</v>
      </c>
      <c r="O15" s="3">
        <v>1349</v>
      </c>
    </row>
    <row r="16" spans="3:15" x14ac:dyDescent="0.3">
      <c r="C16" s="1" t="s">
        <v>11</v>
      </c>
      <c r="D16" s="2">
        <v>3722</v>
      </c>
      <c r="E16" s="2">
        <v>1099</v>
      </c>
      <c r="F16" s="2">
        <v>3038</v>
      </c>
      <c r="G16" s="2">
        <v>1202</v>
      </c>
      <c r="H16" s="2">
        <v>5689</v>
      </c>
      <c r="I16" s="2">
        <v>3026</v>
      </c>
      <c r="J16" s="2">
        <v>2878</v>
      </c>
      <c r="K16" s="2">
        <v>5791</v>
      </c>
      <c r="L16" s="2">
        <v>2669</v>
      </c>
      <c r="M16" s="2">
        <v>4249</v>
      </c>
      <c r="N16" s="2">
        <v>2073</v>
      </c>
      <c r="O16" s="3">
        <v>3952</v>
      </c>
    </row>
    <row r="17" spans="3:15" x14ac:dyDescent="0.3">
      <c r="C17" s="1" t="s">
        <v>12</v>
      </c>
      <c r="D17" s="2">
        <v>1616</v>
      </c>
      <c r="E17" s="2">
        <v>2145</v>
      </c>
      <c r="F17" s="2">
        <v>5494</v>
      </c>
      <c r="G17" s="2">
        <v>1462</v>
      </c>
      <c r="H17" s="2">
        <v>4851</v>
      </c>
      <c r="I17" s="2">
        <v>1359</v>
      </c>
      <c r="J17" s="2">
        <v>2968</v>
      </c>
      <c r="K17" s="2">
        <v>4358</v>
      </c>
      <c r="L17" s="2">
        <v>4714</v>
      </c>
      <c r="M17" s="2">
        <v>5108</v>
      </c>
      <c r="N17" s="2">
        <v>4950</v>
      </c>
      <c r="O17" s="3">
        <v>5218</v>
      </c>
    </row>
    <row r="18" spans="3:15" x14ac:dyDescent="0.3">
      <c r="C18" s="1" t="s">
        <v>13</v>
      </c>
      <c r="D18" s="2">
        <v>1342</v>
      </c>
      <c r="E18" s="2">
        <v>5303</v>
      </c>
      <c r="F18" s="2">
        <v>4741</v>
      </c>
      <c r="G18" s="2">
        <v>1476</v>
      </c>
      <c r="H18" s="2">
        <v>5917</v>
      </c>
      <c r="I18" s="2">
        <v>5924</v>
      </c>
      <c r="J18" s="2">
        <v>1403</v>
      </c>
      <c r="K18" s="2">
        <v>4510</v>
      </c>
      <c r="L18" s="2">
        <v>5124</v>
      </c>
      <c r="M18" s="2">
        <v>3940</v>
      </c>
      <c r="N18" s="2">
        <v>3879</v>
      </c>
      <c r="O18" s="3">
        <v>1571</v>
      </c>
    </row>
    <row r="19" spans="3:15" x14ac:dyDescent="0.3">
      <c r="C19" s="1" t="s">
        <v>14</v>
      </c>
      <c r="D19" s="2">
        <v>2348</v>
      </c>
      <c r="E19" s="2">
        <v>3225</v>
      </c>
      <c r="F19" s="2">
        <v>4121</v>
      </c>
      <c r="G19" s="2">
        <v>2209</v>
      </c>
      <c r="H19" s="2">
        <v>4447</v>
      </c>
      <c r="I19" s="2">
        <v>2531</v>
      </c>
      <c r="J19" s="2">
        <v>2242</v>
      </c>
      <c r="K19" s="2">
        <v>2962</v>
      </c>
      <c r="L19" s="2">
        <v>4925</v>
      </c>
      <c r="M19" s="2">
        <v>3629</v>
      </c>
      <c r="N19" s="2">
        <v>5672</v>
      </c>
      <c r="O19" s="3">
        <v>2766</v>
      </c>
    </row>
    <row r="20" spans="3:15" x14ac:dyDescent="0.3">
      <c r="C20" s="1" t="s">
        <v>15</v>
      </c>
      <c r="D20" s="2">
        <v>3067</v>
      </c>
      <c r="E20" s="2">
        <v>2369</v>
      </c>
      <c r="F20" s="2">
        <v>1451</v>
      </c>
      <c r="G20" s="2">
        <v>1893</v>
      </c>
      <c r="H20" s="2">
        <v>3891</v>
      </c>
      <c r="I20" s="2">
        <v>4326</v>
      </c>
      <c r="J20" s="2">
        <v>4207</v>
      </c>
      <c r="K20" s="2">
        <v>4014</v>
      </c>
      <c r="L20" s="2">
        <v>4443</v>
      </c>
      <c r="M20" s="2">
        <v>1429</v>
      </c>
      <c r="N20" s="2">
        <v>1985</v>
      </c>
      <c r="O20" s="3">
        <v>4184</v>
      </c>
    </row>
    <row r="21" spans="3:15" x14ac:dyDescent="0.3">
      <c r="C21" s="1" t="s">
        <v>16</v>
      </c>
      <c r="D21" s="2">
        <v>3334</v>
      </c>
      <c r="E21" s="2">
        <v>5494</v>
      </c>
      <c r="F21" s="2">
        <v>1187</v>
      </c>
      <c r="G21" s="2">
        <v>5360</v>
      </c>
      <c r="H21" s="2">
        <v>1569</v>
      </c>
      <c r="I21" s="2">
        <v>2037</v>
      </c>
      <c r="J21" s="2">
        <v>4004</v>
      </c>
      <c r="K21" s="2">
        <v>2824</v>
      </c>
      <c r="L21" s="2">
        <v>4024</v>
      </c>
      <c r="M21" s="2">
        <v>4496</v>
      </c>
      <c r="N21" s="2">
        <v>5248</v>
      </c>
      <c r="O21" s="3">
        <v>1557</v>
      </c>
    </row>
    <row r="22" spans="3:15" x14ac:dyDescent="0.3">
      <c r="C22" s="1" t="s">
        <v>17</v>
      </c>
      <c r="D22" s="2">
        <v>3223</v>
      </c>
      <c r="E22" s="2">
        <v>3100</v>
      </c>
      <c r="F22" s="2">
        <v>1484</v>
      </c>
      <c r="G22" s="2">
        <v>3962</v>
      </c>
      <c r="H22" s="2">
        <v>2775</v>
      </c>
      <c r="I22" s="2">
        <v>2042</v>
      </c>
      <c r="J22" s="2">
        <v>5675</v>
      </c>
      <c r="K22" s="2">
        <v>2786</v>
      </c>
      <c r="L22" s="2">
        <v>3049</v>
      </c>
      <c r="M22" s="2">
        <v>1555</v>
      </c>
      <c r="N22" s="2">
        <v>5719</v>
      </c>
      <c r="O22" s="8">
        <v>4575</v>
      </c>
    </row>
    <row r="23" spans="3:15" ht="15" thickBot="1" x14ac:dyDescent="0.35">
      <c r="C23" s="4" t="s">
        <v>18</v>
      </c>
      <c r="D23" s="5">
        <f>SUM(D6:D22)</f>
        <v>59427</v>
      </c>
      <c r="E23" s="5">
        <f t="shared" ref="E23:O23" si="0">SUM(E6:E22)</f>
        <v>55615</v>
      </c>
      <c r="F23" s="5">
        <f t="shared" si="0"/>
        <v>54300</v>
      </c>
      <c r="G23" s="5">
        <f t="shared" si="0"/>
        <v>47361</v>
      </c>
      <c r="H23" s="5">
        <f t="shared" si="0"/>
        <v>63640</v>
      </c>
      <c r="I23" s="5">
        <f t="shared" si="0"/>
        <v>51265</v>
      </c>
      <c r="J23" s="5">
        <f t="shared" si="0"/>
        <v>54082</v>
      </c>
      <c r="K23" s="5">
        <f t="shared" si="0"/>
        <v>66804</v>
      </c>
      <c r="L23" s="5">
        <f t="shared" si="0"/>
        <v>67712</v>
      </c>
      <c r="M23" s="5">
        <f t="shared" si="0"/>
        <v>58350</v>
      </c>
      <c r="N23" s="7">
        <f t="shared" si="0"/>
        <v>77859</v>
      </c>
      <c r="O23" s="9">
        <f t="shared" si="0"/>
        <v>59036</v>
      </c>
    </row>
    <row r="24" spans="3:15" ht="15" thickTop="1" x14ac:dyDescent="0.3"/>
  </sheetData>
  <mergeCells count="13">
    <mergeCell ref="O4:O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ignoredErrors>
    <ignoredError sqref="D23:O2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1B5A-784B-4BEA-B391-E70CF8EADB83}">
  <sheetPr codeName="Sheet6"/>
  <dimension ref="C3:O24"/>
  <sheetViews>
    <sheetView workbookViewId="0">
      <selection activeCell="F25" sqref="F25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24</v>
      </c>
    </row>
    <row r="4" spans="3:15" ht="15" customHeight="1" thickTop="1" x14ac:dyDescent="0.3">
      <c r="C4" s="25" t="s">
        <v>0</v>
      </c>
      <c r="D4" s="23">
        <v>45292</v>
      </c>
      <c r="E4" s="23">
        <v>45323</v>
      </c>
      <c r="F4" s="23">
        <v>45352</v>
      </c>
      <c r="G4" s="23">
        <v>45383</v>
      </c>
      <c r="H4" s="23">
        <v>45413</v>
      </c>
      <c r="I4" s="23">
        <v>45444</v>
      </c>
      <c r="J4" s="23">
        <v>45474</v>
      </c>
      <c r="K4" s="23">
        <v>45505</v>
      </c>
      <c r="L4" s="23">
        <v>45536</v>
      </c>
      <c r="M4" s="23">
        <v>45566</v>
      </c>
      <c r="N4" s="23">
        <v>45597</v>
      </c>
      <c r="O4" s="29">
        <v>45627</v>
      </c>
    </row>
    <row r="5" spans="3:15" ht="14.4" customHeight="1" x14ac:dyDescent="0.3"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0"/>
    </row>
    <row r="6" spans="3:15" x14ac:dyDescent="0.3">
      <c r="C6" s="1" t="s">
        <v>1</v>
      </c>
      <c r="D6" s="2">
        <v>6669</v>
      </c>
      <c r="E6" s="2">
        <v>5156</v>
      </c>
      <c r="F6" s="2">
        <v>3506</v>
      </c>
      <c r="G6" s="2">
        <v>4625</v>
      </c>
      <c r="H6" s="2">
        <v>1857</v>
      </c>
      <c r="I6" s="2">
        <v>2732</v>
      </c>
      <c r="J6" s="2">
        <v>5457</v>
      </c>
      <c r="K6" s="2">
        <v>6647</v>
      </c>
      <c r="L6" s="2">
        <v>4721</v>
      </c>
      <c r="M6" s="2">
        <v>742</v>
      </c>
      <c r="N6" s="2">
        <v>5374</v>
      </c>
      <c r="O6" s="3">
        <v>1066</v>
      </c>
    </row>
    <row r="7" spans="3:15" x14ac:dyDescent="0.3">
      <c r="C7" s="1" t="s">
        <v>2</v>
      </c>
      <c r="D7" s="2">
        <v>4861</v>
      </c>
      <c r="E7" s="2">
        <v>4496</v>
      </c>
      <c r="F7" s="2">
        <v>6347</v>
      </c>
      <c r="G7" s="2">
        <v>6204</v>
      </c>
      <c r="H7" s="2">
        <v>459</v>
      </c>
      <c r="I7" s="2">
        <v>4899</v>
      </c>
      <c r="J7" s="2">
        <v>6784</v>
      </c>
      <c r="K7" s="2">
        <v>287</v>
      </c>
      <c r="L7" s="2">
        <v>3070</v>
      </c>
      <c r="M7" s="2">
        <v>3082</v>
      </c>
      <c r="N7" s="2">
        <v>5561</v>
      </c>
      <c r="O7" s="3">
        <v>6410</v>
      </c>
    </row>
    <row r="8" spans="3:15" x14ac:dyDescent="0.3">
      <c r="C8" s="1" t="s">
        <v>3</v>
      </c>
      <c r="D8" s="2">
        <v>1747</v>
      </c>
      <c r="E8" s="2">
        <v>6618</v>
      </c>
      <c r="F8" s="2">
        <v>6155</v>
      </c>
      <c r="G8" s="2">
        <v>5138</v>
      </c>
      <c r="H8" s="2">
        <v>1845</v>
      </c>
      <c r="I8" s="2">
        <v>625</v>
      </c>
      <c r="J8" s="2">
        <v>3850</v>
      </c>
      <c r="K8" s="2">
        <v>5067</v>
      </c>
      <c r="L8" s="2">
        <v>5185</v>
      </c>
      <c r="M8" s="2">
        <v>3339</v>
      </c>
      <c r="N8" s="2">
        <v>1603</v>
      </c>
      <c r="O8" s="3">
        <v>1805</v>
      </c>
    </row>
    <row r="9" spans="3:15" x14ac:dyDescent="0.3">
      <c r="C9" s="1" t="s">
        <v>4</v>
      </c>
      <c r="D9" s="2">
        <v>4613</v>
      </c>
      <c r="E9" s="2">
        <v>5464</v>
      </c>
      <c r="F9" s="2">
        <v>5645</v>
      </c>
      <c r="G9" s="2">
        <v>1907</v>
      </c>
      <c r="H9" s="2">
        <v>2343</v>
      </c>
      <c r="I9" s="2">
        <v>5627</v>
      </c>
      <c r="J9" s="2">
        <v>5892</v>
      </c>
      <c r="K9" s="2">
        <v>3492</v>
      </c>
      <c r="L9" s="2">
        <v>4327</v>
      </c>
      <c r="M9" s="2">
        <v>5616</v>
      </c>
      <c r="N9" s="2">
        <v>4470</v>
      </c>
      <c r="O9" s="3">
        <v>4766</v>
      </c>
    </row>
    <row r="10" spans="3:15" x14ac:dyDescent="0.3">
      <c r="C10" s="1" t="s">
        <v>5</v>
      </c>
      <c r="D10" s="2">
        <v>6544</v>
      </c>
      <c r="E10" s="2">
        <v>6229</v>
      </c>
      <c r="F10" s="2">
        <v>2270</v>
      </c>
      <c r="G10" s="2">
        <v>1213</v>
      </c>
      <c r="H10" s="2">
        <v>4476</v>
      </c>
      <c r="I10" s="2">
        <v>321</v>
      </c>
      <c r="J10" s="2">
        <v>283</v>
      </c>
      <c r="K10" s="2">
        <v>3381</v>
      </c>
      <c r="L10" s="2">
        <v>526</v>
      </c>
      <c r="M10" s="2">
        <v>5556</v>
      </c>
      <c r="N10" s="2">
        <v>4899</v>
      </c>
      <c r="O10" s="3">
        <v>3306</v>
      </c>
    </row>
    <row r="11" spans="3:15" x14ac:dyDescent="0.3">
      <c r="C11" s="1" t="s">
        <v>6</v>
      </c>
      <c r="D11" s="2">
        <v>4277</v>
      </c>
      <c r="E11" s="2">
        <v>4909</v>
      </c>
      <c r="F11" s="2">
        <v>6005</v>
      </c>
      <c r="G11" s="2">
        <v>6242</v>
      </c>
      <c r="H11" s="2">
        <v>4630</v>
      </c>
      <c r="I11" s="2">
        <v>4746</v>
      </c>
      <c r="J11" s="2">
        <v>5676</v>
      </c>
      <c r="K11" s="2">
        <v>4785</v>
      </c>
      <c r="L11" s="2">
        <v>6892</v>
      </c>
      <c r="M11" s="2">
        <v>5597</v>
      </c>
      <c r="N11" s="2">
        <v>2029</v>
      </c>
      <c r="O11" s="3">
        <v>3875</v>
      </c>
    </row>
    <row r="12" spans="3:15" x14ac:dyDescent="0.3">
      <c r="C12" s="1" t="s">
        <v>7</v>
      </c>
      <c r="D12" s="2">
        <v>3557</v>
      </c>
      <c r="E12" s="2">
        <v>224</v>
      </c>
      <c r="F12" s="2">
        <v>4750</v>
      </c>
      <c r="G12" s="2">
        <v>2172</v>
      </c>
      <c r="H12" s="2">
        <v>1610</v>
      </c>
      <c r="I12" s="2">
        <v>3998</v>
      </c>
      <c r="J12" s="2">
        <v>4154</v>
      </c>
      <c r="K12" s="2">
        <v>1069</v>
      </c>
      <c r="L12" s="2">
        <v>6338</v>
      </c>
      <c r="M12" s="2">
        <v>6009</v>
      </c>
      <c r="N12" s="2">
        <v>3555</v>
      </c>
      <c r="O12" s="3">
        <v>2325</v>
      </c>
    </row>
    <row r="13" spans="3:15" x14ac:dyDescent="0.3">
      <c r="C13" s="1" t="s">
        <v>8</v>
      </c>
      <c r="D13" s="2">
        <v>1875</v>
      </c>
      <c r="E13" s="2">
        <v>1804</v>
      </c>
      <c r="F13" s="2">
        <v>1503</v>
      </c>
      <c r="G13" s="2">
        <v>4316</v>
      </c>
      <c r="H13" s="2">
        <v>2014</v>
      </c>
      <c r="I13" s="2">
        <v>4174</v>
      </c>
      <c r="J13" s="2">
        <v>5796</v>
      </c>
      <c r="K13" s="2">
        <v>3038</v>
      </c>
      <c r="L13" s="2">
        <v>4909</v>
      </c>
      <c r="M13" s="2">
        <v>5876</v>
      </c>
      <c r="N13" s="2">
        <v>2682</v>
      </c>
      <c r="O13" s="3">
        <v>3640</v>
      </c>
    </row>
    <row r="14" spans="3:15" x14ac:dyDescent="0.3">
      <c r="C14" s="1" t="s">
        <v>9</v>
      </c>
      <c r="D14" s="2">
        <v>4591</v>
      </c>
      <c r="E14" s="2">
        <v>2733</v>
      </c>
      <c r="F14" s="2">
        <v>4413</v>
      </c>
      <c r="G14" s="2">
        <v>2549</v>
      </c>
      <c r="H14" s="2">
        <v>6186</v>
      </c>
      <c r="I14" s="2">
        <v>4630</v>
      </c>
      <c r="J14" s="2">
        <v>3108</v>
      </c>
      <c r="K14" s="2">
        <v>2792</v>
      </c>
      <c r="L14" s="2">
        <v>5835</v>
      </c>
      <c r="M14" s="2">
        <v>1782</v>
      </c>
      <c r="N14" s="2">
        <v>2147</v>
      </c>
      <c r="O14" s="3">
        <v>4883</v>
      </c>
    </row>
    <row r="15" spans="3:15" x14ac:dyDescent="0.3">
      <c r="C15" s="1" t="s">
        <v>10</v>
      </c>
      <c r="D15" s="2">
        <v>5818</v>
      </c>
      <c r="E15" s="2">
        <v>3134</v>
      </c>
      <c r="F15" s="2">
        <v>1636</v>
      </c>
      <c r="G15" s="2">
        <v>4164</v>
      </c>
      <c r="H15" s="2">
        <v>2362</v>
      </c>
      <c r="I15" s="2">
        <v>6418</v>
      </c>
      <c r="J15" s="2">
        <v>4559</v>
      </c>
      <c r="K15" s="2">
        <v>6224</v>
      </c>
      <c r="L15" s="2">
        <v>1903</v>
      </c>
      <c r="M15" s="2">
        <v>6779</v>
      </c>
      <c r="N15" s="2">
        <v>1277</v>
      </c>
      <c r="O15" s="3">
        <v>614</v>
      </c>
    </row>
    <row r="16" spans="3:15" x14ac:dyDescent="0.3">
      <c r="C16" s="1" t="s">
        <v>11</v>
      </c>
      <c r="D16" s="2">
        <v>1516</v>
      </c>
      <c r="E16" s="2">
        <v>5273</v>
      </c>
      <c r="F16" s="2">
        <v>4006</v>
      </c>
      <c r="G16" s="2">
        <v>4098</v>
      </c>
      <c r="H16" s="2">
        <v>2453</v>
      </c>
      <c r="I16" s="2">
        <v>2553</v>
      </c>
      <c r="J16" s="2">
        <v>6553</v>
      </c>
      <c r="K16" s="2">
        <v>5972</v>
      </c>
      <c r="L16" s="2">
        <v>528</v>
      </c>
      <c r="M16" s="2">
        <v>3124</v>
      </c>
      <c r="N16" s="2">
        <v>5805</v>
      </c>
      <c r="O16" s="3">
        <v>866</v>
      </c>
    </row>
    <row r="17" spans="3:15" x14ac:dyDescent="0.3">
      <c r="C17" s="1" t="s">
        <v>12</v>
      </c>
      <c r="D17" s="2">
        <v>3656</v>
      </c>
      <c r="E17" s="2">
        <v>3938</v>
      </c>
      <c r="F17" s="2">
        <v>1881</v>
      </c>
      <c r="G17" s="2">
        <v>2307</v>
      </c>
      <c r="H17" s="2">
        <v>340</v>
      </c>
      <c r="I17" s="2">
        <v>433</v>
      </c>
      <c r="J17" s="2">
        <v>3466</v>
      </c>
      <c r="K17" s="2">
        <v>5611</v>
      </c>
      <c r="L17" s="2">
        <v>5988</v>
      </c>
      <c r="M17" s="2">
        <v>6818</v>
      </c>
      <c r="N17" s="2">
        <v>6788</v>
      </c>
      <c r="O17" s="3">
        <v>4666</v>
      </c>
    </row>
    <row r="18" spans="3:15" x14ac:dyDescent="0.3">
      <c r="C18" s="1" t="s">
        <v>13</v>
      </c>
      <c r="D18" s="2">
        <v>4364</v>
      </c>
      <c r="E18" s="2">
        <v>471</v>
      </c>
      <c r="F18" s="2">
        <v>5537</v>
      </c>
      <c r="G18" s="2">
        <v>2650</v>
      </c>
      <c r="H18" s="2">
        <v>4346</v>
      </c>
      <c r="I18" s="2">
        <v>1040</v>
      </c>
      <c r="J18" s="2">
        <v>2807</v>
      </c>
      <c r="K18" s="2">
        <v>2116</v>
      </c>
      <c r="L18" s="2">
        <v>695</v>
      </c>
      <c r="M18" s="2">
        <v>2556</v>
      </c>
      <c r="N18" s="2">
        <v>1478</v>
      </c>
      <c r="O18" s="3">
        <v>713</v>
      </c>
    </row>
    <row r="19" spans="3:15" x14ac:dyDescent="0.3">
      <c r="C19" s="1" t="s">
        <v>14</v>
      </c>
      <c r="D19" s="2">
        <v>658</v>
      </c>
      <c r="E19" s="2">
        <v>1711</v>
      </c>
      <c r="F19" s="2">
        <v>1225</v>
      </c>
      <c r="G19" s="2">
        <v>5057</v>
      </c>
      <c r="H19" s="2">
        <v>1117</v>
      </c>
      <c r="I19" s="2">
        <v>3630</v>
      </c>
      <c r="J19" s="2">
        <v>5441</v>
      </c>
      <c r="K19" s="2">
        <v>3713</v>
      </c>
      <c r="L19" s="2">
        <v>3403</v>
      </c>
      <c r="M19" s="2">
        <v>5714</v>
      </c>
      <c r="N19" s="2">
        <v>3194</v>
      </c>
      <c r="O19" s="3">
        <v>1534</v>
      </c>
    </row>
    <row r="20" spans="3:15" x14ac:dyDescent="0.3">
      <c r="C20" s="1" t="s">
        <v>15</v>
      </c>
      <c r="D20" s="2">
        <v>2337</v>
      </c>
      <c r="E20" s="2">
        <v>2588</v>
      </c>
      <c r="F20" s="2">
        <v>6700</v>
      </c>
      <c r="G20" s="2">
        <v>700</v>
      </c>
      <c r="H20" s="2">
        <v>535</v>
      </c>
      <c r="I20" s="2">
        <v>2759</v>
      </c>
      <c r="J20" s="2">
        <v>5533</v>
      </c>
      <c r="K20" s="2">
        <v>296</v>
      </c>
      <c r="L20" s="2">
        <v>4893</v>
      </c>
      <c r="M20" s="2">
        <v>1313</v>
      </c>
      <c r="N20" s="2">
        <v>5305</v>
      </c>
      <c r="O20" s="3">
        <v>2063</v>
      </c>
    </row>
    <row r="21" spans="3:15" x14ac:dyDescent="0.3">
      <c r="C21" s="1" t="s">
        <v>16</v>
      </c>
      <c r="D21" s="2">
        <v>6879</v>
      </c>
      <c r="E21" s="2">
        <v>2561</v>
      </c>
      <c r="F21" s="2">
        <v>5496</v>
      </c>
      <c r="G21" s="2">
        <v>822</v>
      </c>
      <c r="H21" s="2">
        <v>848</v>
      </c>
      <c r="I21" s="2">
        <v>1781</v>
      </c>
      <c r="J21" s="2">
        <v>6475</v>
      </c>
      <c r="K21" s="2">
        <v>3760</v>
      </c>
      <c r="L21" s="2">
        <v>1430</v>
      </c>
      <c r="M21" s="2">
        <v>830</v>
      </c>
      <c r="N21" s="2">
        <v>6191</v>
      </c>
      <c r="O21" s="3">
        <v>6325</v>
      </c>
    </row>
    <row r="22" spans="3:15" x14ac:dyDescent="0.3">
      <c r="C22" s="1" t="s">
        <v>17</v>
      </c>
      <c r="D22" s="2">
        <v>6640</v>
      </c>
      <c r="E22" s="2">
        <v>3312</v>
      </c>
      <c r="F22" s="2">
        <v>2048</v>
      </c>
      <c r="G22" s="2">
        <v>4456</v>
      </c>
      <c r="H22" s="2">
        <v>3807</v>
      </c>
      <c r="I22" s="2">
        <v>1328</v>
      </c>
      <c r="J22" s="2">
        <v>1491</v>
      </c>
      <c r="K22" s="2">
        <v>1353</v>
      </c>
      <c r="L22" s="2">
        <v>6388</v>
      </c>
      <c r="M22" s="2">
        <v>2287</v>
      </c>
      <c r="N22" s="2">
        <v>3217</v>
      </c>
      <c r="O22" s="8">
        <v>6778</v>
      </c>
    </row>
    <row r="23" spans="3:15" ht="15" thickBot="1" x14ac:dyDescent="0.35">
      <c r="C23" s="4" t="s">
        <v>18</v>
      </c>
      <c r="D23" s="5">
        <f>SUM(D6:D22)</f>
        <v>70602</v>
      </c>
      <c r="E23" s="5">
        <f t="shared" ref="E23:O23" si="0">SUM(E6:E22)</f>
        <v>60621</v>
      </c>
      <c r="F23" s="5">
        <f t="shared" si="0"/>
        <v>69123</v>
      </c>
      <c r="G23" s="5">
        <f t="shared" si="0"/>
        <v>58620</v>
      </c>
      <c r="H23" s="5">
        <f t="shared" si="0"/>
        <v>41228</v>
      </c>
      <c r="I23" s="5">
        <f t="shared" si="0"/>
        <v>51694</v>
      </c>
      <c r="J23" s="5">
        <f t="shared" si="0"/>
        <v>77325</v>
      </c>
      <c r="K23" s="5">
        <f t="shared" si="0"/>
        <v>59603</v>
      </c>
      <c r="L23" s="5">
        <f t="shared" si="0"/>
        <v>67031</v>
      </c>
      <c r="M23" s="5">
        <f t="shared" si="0"/>
        <v>67020</v>
      </c>
      <c r="N23" s="7">
        <f t="shared" si="0"/>
        <v>65575</v>
      </c>
      <c r="O23" s="9">
        <f t="shared" si="0"/>
        <v>55635</v>
      </c>
    </row>
    <row r="24" spans="3:15" ht="15" thickTop="1" x14ac:dyDescent="0.3"/>
  </sheetData>
  <mergeCells count="13">
    <mergeCell ref="O4:O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ignoredErrors>
    <ignoredError sqref="D23:O2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147F-92A5-4614-A932-A791448A5C63}">
  <sheetPr codeName="Sheet7"/>
  <dimension ref="C3:O24"/>
  <sheetViews>
    <sheetView workbookViewId="0">
      <selection activeCell="G26" sqref="G26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19</v>
      </c>
    </row>
    <row r="4" spans="3:15" ht="15" customHeight="1" thickTop="1" x14ac:dyDescent="0.3">
      <c r="C4" s="25" t="s">
        <v>0</v>
      </c>
      <c r="D4" s="23">
        <v>45658</v>
      </c>
      <c r="E4" s="23">
        <v>45689</v>
      </c>
      <c r="F4" s="23">
        <v>45717</v>
      </c>
      <c r="G4" s="23">
        <v>45748</v>
      </c>
      <c r="H4" s="23">
        <v>45778</v>
      </c>
      <c r="I4" s="23">
        <v>45809</v>
      </c>
      <c r="J4" s="23">
        <v>45839</v>
      </c>
      <c r="K4" s="23">
        <v>45870</v>
      </c>
      <c r="L4" s="23">
        <v>45901</v>
      </c>
      <c r="M4" s="23">
        <v>45931</v>
      </c>
      <c r="N4" s="23">
        <v>45962</v>
      </c>
      <c r="O4" s="29">
        <v>45992</v>
      </c>
    </row>
    <row r="5" spans="3:15" x14ac:dyDescent="0.3"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0"/>
    </row>
    <row r="6" spans="3:15" x14ac:dyDescent="0.3">
      <c r="C6" s="1" t="s">
        <v>1</v>
      </c>
      <c r="D6" s="2">
        <v>2787</v>
      </c>
      <c r="E6" s="2">
        <v>2106</v>
      </c>
      <c r="F6" s="2">
        <v>1460</v>
      </c>
      <c r="G6" s="2">
        <v>16384</v>
      </c>
      <c r="H6" s="2">
        <v>5702</v>
      </c>
      <c r="I6" s="2">
        <v>17229</v>
      </c>
      <c r="J6" s="2">
        <v>15827</v>
      </c>
      <c r="K6" s="2">
        <v>1331</v>
      </c>
      <c r="L6" s="2">
        <v>12265</v>
      </c>
      <c r="M6" s="2">
        <v>16679</v>
      </c>
      <c r="N6" s="2">
        <v>14934</v>
      </c>
      <c r="O6" s="3">
        <v>7266</v>
      </c>
    </row>
    <row r="7" spans="3:15" x14ac:dyDescent="0.3">
      <c r="C7" s="1" t="s">
        <v>2</v>
      </c>
      <c r="D7" s="2">
        <v>6514</v>
      </c>
      <c r="E7" s="2">
        <v>15359</v>
      </c>
      <c r="F7" s="2">
        <v>1412</v>
      </c>
      <c r="G7" s="2">
        <v>4654</v>
      </c>
      <c r="H7" s="2">
        <v>17789</v>
      </c>
      <c r="I7" s="2">
        <v>12344</v>
      </c>
      <c r="J7" s="2">
        <v>6049</v>
      </c>
      <c r="K7" s="2">
        <v>18645</v>
      </c>
      <c r="L7" s="2">
        <v>2043</v>
      </c>
      <c r="M7" s="2">
        <v>11306</v>
      </c>
      <c r="N7" s="2">
        <v>7941</v>
      </c>
      <c r="O7" s="3">
        <v>15084</v>
      </c>
    </row>
    <row r="8" spans="3:15" x14ac:dyDescent="0.3">
      <c r="C8" s="1" t="s">
        <v>3</v>
      </c>
      <c r="D8" s="2">
        <v>6135</v>
      </c>
      <c r="E8" s="2">
        <v>7779</v>
      </c>
      <c r="F8" s="2">
        <v>9150</v>
      </c>
      <c r="G8" s="2">
        <v>10421</v>
      </c>
      <c r="H8" s="2">
        <v>10747</v>
      </c>
      <c r="I8" s="2">
        <v>7851</v>
      </c>
      <c r="J8" s="2">
        <v>11695</v>
      </c>
      <c r="K8" s="2">
        <v>15650</v>
      </c>
      <c r="L8" s="2">
        <v>2449</v>
      </c>
      <c r="M8" s="2">
        <v>13637</v>
      </c>
      <c r="N8" s="2">
        <v>4191</v>
      </c>
      <c r="O8" s="3">
        <v>4965</v>
      </c>
    </row>
    <row r="9" spans="3:15" x14ac:dyDescent="0.3">
      <c r="C9" s="1" t="s">
        <v>4</v>
      </c>
      <c r="D9" s="2">
        <v>13308</v>
      </c>
      <c r="E9" s="2">
        <v>10280</v>
      </c>
      <c r="F9" s="2">
        <v>3981</v>
      </c>
      <c r="G9" s="2">
        <v>10090</v>
      </c>
      <c r="H9" s="2">
        <v>14135</v>
      </c>
      <c r="I9" s="2">
        <v>3862</v>
      </c>
      <c r="J9" s="2">
        <v>12890</v>
      </c>
      <c r="K9" s="2">
        <v>16379</v>
      </c>
      <c r="L9" s="2">
        <v>8504</v>
      </c>
      <c r="M9" s="2">
        <v>1389</v>
      </c>
      <c r="N9" s="2">
        <v>12938</v>
      </c>
      <c r="O9" s="3">
        <v>7733</v>
      </c>
    </row>
    <row r="10" spans="3:15" x14ac:dyDescent="0.3">
      <c r="C10" s="1" t="s">
        <v>5</v>
      </c>
      <c r="D10" s="2">
        <v>1000</v>
      </c>
      <c r="E10" s="2">
        <v>2145</v>
      </c>
      <c r="F10" s="2">
        <v>7769</v>
      </c>
      <c r="G10" s="2">
        <v>5280</v>
      </c>
      <c r="H10" s="2">
        <v>11766</v>
      </c>
      <c r="I10" s="2">
        <v>8405</v>
      </c>
      <c r="J10" s="2">
        <v>11957</v>
      </c>
      <c r="K10" s="2">
        <v>5245</v>
      </c>
      <c r="L10" s="2">
        <v>1387</v>
      </c>
      <c r="M10" s="2">
        <v>1832</v>
      </c>
      <c r="N10" s="2">
        <v>8486</v>
      </c>
      <c r="O10" s="3">
        <v>11712</v>
      </c>
    </row>
    <row r="11" spans="3:15" x14ac:dyDescent="0.3">
      <c r="C11" s="1" t="s">
        <v>6</v>
      </c>
      <c r="D11" s="2">
        <v>2193</v>
      </c>
      <c r="E11" s="2">
        <v>12521</v>
      </c>
      <c r="F11" s="2">
        <v>1417</v>
      </c>
      <c r="G11" s="2">
        <v>7178</v>
      </c>
      <c r="H11" s="2">
        <v>17421</v>
      </c>
      <c r="I11" s="2">
        <v>19675</v>
      </c>
      <c r="J11" s="2">
        <v>17076</v>
      </c>
      <c r="K11" s="2">
        <v>15497</v>
      </c>
      <c r="L11" s="2">
        <v>4412</v>
      </c>
      <c r="M11" s="2">
        <v>1013</v>
      </c>
      <c r="N11" s="2">
        <v>7010</v>
      </c>
      <c r="O11" s="3">
        <v>18310</v>
      </c>
    </row>
    <row r="12" spans="3:15" x14ac:dyDescent="0.3">
      <c r="C12" s="1" t="s">
        <v>7</v>
      </c>
      <c r="D12" s="2">
        <v>5488</v>
      </c>
      <c r="E12" s="2">
        <v>9212</v>
      </c>
      <c r="F12" s="2">
        <v>11076</v>
      </c>
      <c r="G12" s="2">
        <v>8907</v>
      </c>
      <c r="H12" s="2">
        <v>4743</v>
      </c>
      <c r="I12" s="2">
        <v>17673</v>
      </c>
      <c r="J12" s="2">
        <v>9872</v>
      </c>
      <c r="K12" s="2">
        <v>18531</v>
      </c>
      <c r="L12" s="2">
        <v>14985</v>
      </c>
      <c r="M12" s="2">
        <v>10820</v>
      </c>
      <c r="N12" s="2">
        <v>18564</v>
      </c>
      <c r="O12" s="3">
        <v>15485</v>
      </c>
    </row>
    <row r="13" spans="3:15" x14ac:dyDescent="0.3">
      <c r="C13" s="1" t="s">
        <v>8</v>
      </c>
      <c r="D13" s="2">
        <v>3897</v>
      </c>
      <c r="E13" s="2">
        <v>3453</v>
      </c>
      <c r="F13" s="2">
        <v>9362</v>
      </c>
      <c r="G13" s="2">
        <v>14563</v>
      </c>
      <c r="H13" s="2">
        <v>3437</v>
      </c>
      <c r="I13" s="2">
        <v>14596</v>
      </c>
      <c r="J13" s="2">
        <v>2872</v>
      </c>
      <c r="K13" s="2">
        <v>13165</v>
      </c>
      <c r="L13" s="2">
        <v>19881</v>
      </c>
      <c r="M13" s="2">
        <v>2869</v>
      </c>
      <c r="N13" s="2">
        <v>3848</v>
      </c>
      <c r="O13" s="3">
        <v>18962</v>
      </c>
    </row>
    <row r="14" spans="3:15" x14ac:dyDescent="0.3">
      <c r="C14" s="1" t="s">
        <v>9</v>
      </c>
      <c r="D14" s="2">
        <v>1500</v>
      </c>
      <c r="E14" s="2">
        <v>5310</v>
      </c>
      <c r="F14" s="2">
        <v>8885</v>
      </c>
      <c r="G14" s="2">
        <v>4311</v>
      </c>
      <c r="H14" s="2">
        <v>2824</v>
      </c>
      <c r="I14" s="2">
        <v>16871</v>
      </c>
      <c r="J14" s="2">
        <v>17307</v>
      </c>
      <c r="K14" s="2">
        <v>3259</v>
      </c>
      <c r="L14" s="2">
        <v>15856</v>
      </c>
      <c r="M14" s="2">
        <v>7062</v>
      </c>
      <c r="N14" s="2">
        <v>19809</v>
      </c>
      <c r="O14" s="3">
        <v>3564</v>
      </c>
    </row>
    <row r="15" spans="3:15" x14ac:dyDescent="0.3">
      <c r="C15" s="1" t="s">
        <v>10</v>
      </c>
      <c r="D15" s="2">
        <v>8517</v>
      </c>
      <c r="E15" s="2">
        <v>12837</v>
      </c>
      <c r="F15" s="2">
        <v>15997</v>
      </c>
      <c r="G15" s="2">
        <v>8167</v>
      </c>
      <c r="H15" s="2">
        <v>17394</v>
      </c>
      <c r="I15" s="2">
        <v>11061</v>
      </c>
      <c r="J15" s="2">
        <v>15867</v>
      </c>
      <c r="K15" s="2">
        <v>14844</v>
      </c>
      <c r="L15" s="2">
        <v>5026</v>
      </c>
      <c r="M15" s="2">
        <v>4429</v>
      </c>
      <c r="N15" s="2">
        <v>6002</v>
      </c>
      <c r="O15" s="3">
        <v>19769</v>
      </c>
    </row>
    <row r="16" spans="3:15" x14ac:dyDescent="0.3">
      <c r="C16" s="1" t="s">
        <v>11</v>
      </c>
      <c r="D16" s="2">
        <v>16804</v>
      </c>
      <c r="E16" s="2">
        <v>1879</v>
      </c>
      <c r="F16" s="2">
        <v>10209</v>
      </c>
      <c r="G16" s="2">
        <v>14721</v>
      </c>
      <c r="H16" s="2">
        <v>7500</v>
      </c>
      <c r="I16" s="2">
        <v>11150</v>
      </c>
      <c r="J16" s="2">
        <v>14359</v>
      </c>
      <c r="K16" s="2">
        <v>11990</v>
      </c>
      <c r="L16" s="2">
        <v>19865</v>
      </c>
      <c r="M16" s="2">
        <v>16578</v>
      </c>
      <c r="N16" s="2">
        <v>16802</v>
      </c>
      <c r="O16" s="3">
        <v>11728</v>
      </c>
    </row>
    <row r="17" spans="3:15" x14ac:dyDescent="0.3">
      <c r="C17" s="1" t="s">
        <v>12</v>
      </c>
      <c r="D17" s="2">
        <v>13087</v>
      </c>
      <c r="E17" s="2">
        <v>9863</v>
      </c>
      <c r="F17" s="2">
        <v>11035</v>
      </c>
      <c r="G17" s="2">
        <v>13392</v>
      </c>
      <c r="H17" s="2">
        <v>5278</v>
      </c>
      <c r="I17" s="2">
        <v>7592</v>
      </c>
      <c r="J17" s="2">
        <v>7507</v>
      </c>
      <c r="K17" s="2">
        <v>11114</v>
      </c>
      <c r="L17" s="2">
        <v>5252</v>
      </c>
      <c r="M17" s="2">
        <v>5869</v>
      </c>
      <c r="N17" s="2">
        <v>9229</v>
      </c>
      <c r="O17" s="3">
        <v>8842</v>
      </c>
    </row>
    <row r="18" spans="3:15" x14ac:dyDescent="0.3">
      <c r="C18" s="1" t="s">
        <v>13</v>
      </c>
      <c r="D18" s="2">
        <v>8695</v>
      </c>
      <c r="E18" s="2">
        <v>10085</v>
      </c>
      <c r="F18" s="2">
        <v>1048</v>
      </c>
      <c r="G18" s="2">
        <v>13225</v>
      </c>
      <c r="H18" s="2">
        <v>3960</v>
      </c>
      <c r="I18" s="2">
        <v>15423</v>
      </c>
      <c r="J18" s="2">
        <v>9525</v>
      </c>
      <c r="K18" s="2">
        <v>8328</v>
      </c>
      <c r="L18" s="2">
        <v>13306</v>
      </c>
      <c r="M18" s="2">
        <v>12388</v>
      </c>
      <c r="N18" s="2">
        <v>11683</v>
      </c>
      <c r="O18" s="3">
        <v>12422</v>
      </c>
    </row>
    <row r="19" spans="3:15" x14ac:dyDescent="0.3">
      <c r="C19" s="1" t="s">
        <v>14</v>
      </c>
      <c r="D19" s="2">
        <v>6188</v>
      </c>
      <c r="E19" s="2">
        <v>1613</v>
      </c>
      <c r="F19" s="2">
        <v>7698</v>
      </c>
      <c r="G19" s="2">
        <v>11761</v>
      </c>
      <c r="H19" s="2">
        <v>1520</v>
      </c>
      <c r="I19" s="2">
        <v>10606</v>
      </c>
      <c r="J19" s="2">
        <v>13451</v>
      </c>
      <c r="K19" s="2">
        <v>15214</v>
      </c>
      <c r="L19" s="2">
        <v>17999</v>
      </c>
      <c r="M19" s="2">
        <v>1877</v>
      </c>
      <c r="N19" s="2">
        <v>1542</v>
      </c>
      <c r="O19" s="3">
        <v>6047</v>
      </c>
    </row>
    <row r="20" spans="3:15" x14ac:dyDescent="0.3">
      <c r="C20" s="1" t="s">
        <v>15</v>
      </c>
      <c r="D20" s="2">
        <v>8961</v>
      </c>
      <c r="E20" s="2">
        <v>17912</v>
      </c>
      <c r="F20" s="2">
        <v>13133</v>
      </c>
      <c r="G20" s="2">
        <v>18999</v>
      </c>
      <c r="H20" s="2">
        <v>6196</v>
      </c>
      <c r="I20" s="2">
        <v>15744</v>
      </c>
      <c r="J20" s="2">
        <v>5002</v>
      </c>
      <c r="K20" s="2">
        <v>18600</v>
      </c>
      <c r="L20" s="2">
        <v>7533</v>
      </c>
      <c r="M20" s="2">
        <v>8253</v>
      </c>
      <c r="N20" s="2">
        <v>12926</v>
      </c>
      <c r="O20" s="3">
        <v>19662</v>
      </c>
    </row>
    <row r="21" spans="3:15" x14ac:dyDescent="0.3">
      <c r="C21" s="1" t="s">
        <v>16</v>
      </c>
      <c r="D21" s="2">
        <v>12576</v>
      </c>
      <c r="E21" s="2">
        <v>4226</v>
      </c>
      <c r="F21" s="2">
        <v>3768</v>
      </c>
      <c r="G21" s="2">
        <v>12849</v>
      </c>
      <c r="H21" s="2">
        <v>9704</v>
      </c>
      <c r="I21" s="2">
        <v>10936</v>
      </c>
      <c r="J21" s="2">
        <v>17980</v>
      </c>
      <c r="K21" s="2">
        <v>11238</v>
      </c>
      <c r="L21" s="2">
        <v>11196</v>
      </c>
      <c r="M21" s="2">
        <v>3160</v>
      </c>
      <c r="N21" s="2">
        <v>4111</v>
      </c>
      <c r="O21" s="3">
        <v>4851</v>
      </c>
    </row>
    <row r="22" spans="3:15" x14ac:dyDescent="0.3">
      <c r="C22" s="1" t="s">
        <v>17</v>
      </c>
      <c r="D22" s="2">
        <v>9744</v>
      </c>
      <c r="E22" s="2">
        <v>4269</v>
      </c>
      <c r="F22" s="2">
        <v>17978</v>
      </c>
      <c r="G22" s="2">
        <v>19033</v>
      </c>
      <c r="H22" s="2">
        <v>1070</v>
      </c>
      <c r="I22" s="2">
        <v>2639</v>
      </c>
      <c r="J22" s="2">
        <v>14308</v>
      </c>
      <c r="K22" s="2">
        <v>8556</v>
      </c>
      <c r="L22" s="2">
        <v>15254</v>
      </c>
      <c r="M22" s="2">
        <v>8358</v>
      </c>
      <c r="N22" s="2">
        <v>13885</v>
      </c>
      <c r="O22" s="8">
        <v>12726</v>
      </c>
    </row>
    <row r="23" spans="3:15" ht="15" thickBot="1" x14ac:dyDescent="0.35">
      <c r="C23" s="4" t="s">
        <v>18</v>
      </c>
      <c r="D23" s="5">
        <f>SUM(D6:D22)</f>
        <v>127394</v>
      </c>
      <c r="E23" s="5">
        <f t="shared" ref="E23:O23" si="0">SUM(E6:E22)</f>
        <v>130849</v>
      </c>
      <c r="F23" s="5">
        <f t="shared" si="0"/>
        <v>135378</v>
      </c>
      <c r="G23" s="5">
        <f t="shared" si="0"/>
        <v>193935</v>
      </c>
      <c r="H23" s="5">
        <f t="shared" si="0"/>
        <v>141186</v>
      </c>
      <c r="I23" s="5">
        <f t="shared" si="0"/>
        <v>203657</v>
      </c>
      <c r="J23" s="5">
        <f t="shared" si="0"/>
        <v>203544</v>
      </c>
      <c r="K23" s="5">
        <f t="shared" si="0"/>
        <v>207586</v>
      </c>
      <c r="L23" s="5">
        <f t="shared" si="0"/>
        <v>177213</v>
      </c>
      <c r="M23" s="5">
        <f t="shared" si="0"/>
        <v>127519</v>
      </c>
      <c r="N23" s="7">
        <f t="shared" si="0"/>
        <v>173901</v>
      </c>
      <c r="O23" s="9">
        <f t="shared" si="0"/>
        <v>199128</v>
      </c>
    </row>
    <row r="24" spans="3:15" ht="15" thickTop="1" x14ac:dyDescent="0.3"/>
  </sheetData>
  <mergeCells count="13">
    <mergeCell ref="O4:O5"/>
    <mergeCell ref="I4:I5"/>
    <mergeCell ref="J4:J5"/>
    <mergeCell ref="K4:K5"/>
    <mergeCell ref="L4:L5"/>
    <mergeCell ref="M4:M5"/>
    <mergeCell ref="N4:N5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ignoredErrors>
    <ignoredError sqref="D23:O2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MasterSheet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Yagyik</dc:creator>
  <cp:lastModifiedBy>Kushal Yagyik</cp:lastModifiedBy>
  <dcterms:created xsi:type="dcterms:W3CDTF">2026-04-10T20:56:21Z</dcterms:created>
  <dcterms:modified xsi:type="dcterms:W3CDTF">2026-04-16T20:16:21Z</dcterms:modified>
</cp:coreProperties>
</file>